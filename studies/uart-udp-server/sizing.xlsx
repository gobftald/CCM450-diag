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v/esp/ccm-diag/"/>
    </mc:Choice>
  </mc:AlternateContent>
  <xr:revisionPtr revIDLastSave="0" documentId="13_ncr:1_{DF12C63B-40C7-B942-83C7-616913A05E7F}" xr6:coauthVersionLast="47" xr6:coauthVersionMax="47" xr10:uidLastSave="{00000000-0000-0000-0000-000000000000}"/>
  <bookViews>
    <workbookView xWindow="80" yWindow="500" windowWidth="25520" windowHeight="14900" xr2:uid="{7B075F7D-2CA4-8A4E-BD0B-AF2636EE3FAE}"/>
  </bookViews>
  <sheets>
    <sheet name="Summary" sheetId="11" r:id="rId1"/>
    <sheet name="group" sheetId="9" r:id="rId2"/>
    <sheet name=".rwtext.wifi" sheetId="1" r:id="rId3"/>
    <sheet name=".data" sheetId="2" r:id="rId4"/>
    <sheet name=".bss" sheetId="4" r:id="rId5"/>
    <sheet name=".rodata" sheetId="5" r:id="rId6"/>
    <sheet name=".esp-hal" sheetId="15" r:id="rId7"/>
    <sheet name="embassy" sheetId="16" r:id="rId8"/>
    <sheet name="alloc+atomic" sheetId="18" r:id="rId9"/>
    <sheet name=".esp-wifi" sheetId="20" r:id="rId10"/>
    <sheet name="libcore printf" sheetId="21" r:id="rId11"/>
    <sheet name=".libpp" sheetId="6" r:id="rId12"/>
    <sheet name=".libphy" sheetId="23" r:id="rId13"/>
    <sheet name=".libnet80211" sheetId="24" r:id="rId14"/>
    <sheet name=".libwpa-suppl" sheetId="7" r:id="rId15"/>
    <sheet name=".smoltcp" sheetId="26" r:id="rId16"/>
    <sheet name="core-text" sheetId="2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" i="11" l="1"/>
  <c r="G10" i="11"/>
  <c r="J6" i="11"/>
  <c r="G4" i="11"/>
  <c r="D34" i="27"/>
  <c r="C38" i="26"/>
  <c r="C39" i="26"/>
  <c r="C40" i="26"/>
  <c r="C43" i="26"/>
  <c r="C44" i="26"/>
  <c r="C45" i="26"/>
  <c r="C46" i="26"/>
  <c r="C48" i="26"/>
  <c r="C69" i="26"/>
  <c r="C60" i="26"/>
  <c r="C61" i="26"/>
  <c r="C62" i="26"/>
  <c r="C63" i="26"/>
  <c r="C64" i="26"/>
  <c r="C65" i="26"/>
  <c r="C66" i="26"/>
  <c r="C67" i="26"/>
  <c r="C68" i="26"/>
  <c r="C31" i="26"/>
  <c r="C32" i="26"/>
  <c r="C33" i="26"/>
  <c r="C34" i="26"/>
  <c r="C35" i="26"/>
  <c r="C36" i="26"/>
  <c r="C37" i="26"/>
  <c r="C41" i="26"/>
  <c r="C42" i="26"/>
  <c r="C47" i="26"/>
  <c r="C49" i="26"/>
  <c r="C50" i="26"/>
  <c r="C51" i="26"/>
  <c r="C52" i="26"/>
  <c r="C53" i="26"/>
  <c r="C54" i="26"/>
  <c r="C55" i="26"/>
  <c r="C56" i="26"/>
  <c r="C57" i="26"/>
  <c r="C58" i="26"/>
  <c r="C59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" i="26"/>
  <c r="C4" i="26"/>
  <c r="C5" i="26"/>
  <c r="C6" i="26"/>
  <c r="C7" i="26"/>
  <c r="D50" i="16"/>
  <c r="E50" i="16" s="1"/>
  <c r="C52" i="5"/>
  <c r="C53" i="5"/>
  <c r="C50" i="5"/>
  <c r="C51" i="5"/>
  <c r="C45" i="5"/>
  <c r="C44" i="5"/>
  <c r="C43" i="5"/>
  <c r="C41" i="5"/>
  <c r="C42" i="5"/>
  <c r="C39" i="5"/>
  <c r="C38" i="5"/>
  <c r="C37" i="5"/>
  <c r="C35" i="5"/>
  <c r="C36" i="5"/>
  <c r="C34" i="5"/>
  <c r="C33" i="5"/>
  <c r="C31" i="5"/>
  <c r="C32" i="5"/>
  <c r="C30" i="5"/>
  <c r="C29" i="5"/>
  <c r="C27" i="5"/>
  <c r="C28" i="5"/>
  <c r="C25" i="5"/>
  <c r="C26" i="5"/>
  <c r="C24" i="5"/>
  <c r="C13" i="5"/>
  <c r="C12" i="5"/>
  <c r="C11" i="5"/>
  <c r="C10" i="5"/>
  <c r="C14" i="5"/>
  <c r="C9" i="5"/>
  <c r="C8" i="5"/>
  <c r="C6" i="5"/>
  <c r="C7" i="5"/>
  <c r="C130" i="4"/>
  <c r="C131" i="4"/>
  <c r="C132" i="4"/>
  <c r="C73" i="4"/>
  <c r="C74" i="4"/>
  <c r="C75" i="4"/>
  <c r="C76" i="4"/>
  <c r="C71" i="4"/>
  <c r="C72" i="4"/>
  <c r="C51" i="4"/>
  <c r="C52" i="4"/>
  <c r="C53" i="4"/>
  <c r="C46" i="4"/>
  <c r="C47" i="4"/>
  <c r="C45" i="4"/>
  <c r="C48" i="4"/>
  <c r="C49" i="4"/>
  <c r="C50" i="4"/>
  <c r="C40" i="4"/>
  <c r="C39" i="4"/>
  <c r="C38" i="4"/>
  <c r="C37" i="4"/>
  <c r="C34" i="4"/>
  <c r="C35" i="4"/>
  <c r="C36" i="4"/>
  <c r="C30" i="4"/>
  <c r="C29" i="4"/>
  <c r="C27" i="4"/>
  <c r="C28" i="4"/>
  <c r="C25" i="4"/>
  <c r="C24" i="4"/>
  <c r="C18" i="4"/>
  <c r="C19" i="4"/>
  <c r="C20" i="4"/>
  <c r="C21" i="4"/>
  <c r="C22" i="4"/>
  <c r="C14" i="4"/>
  <c r="C15" i="4"/>
  <c r="C11" i="4"/>
  <c r="C12" i="4"/>
  <c r="C13" i="4"/>
  <c r="C16" i="4"/>
  <c r="C17" i="4"/>
  <c r="C14" i="2"/>
  <c r="C15" i="2"/>
  <c r="C16" i="2"/>
  <c r="C13" i="2"/>
  <c r="C17" i="2"/>
  <c r="C7" i="2"/>
  <c r="C8" i="2"/>
  <c r="C9" i="2"/>
  <c r="D30" i="24"/>
  <c r="D31" i="24"/>
  <c r="D32" i="24"/>
  <c r="C70" i="26"/>
  <c r="B26" i="11" s="1"/>
  <c r="C26" i="11" s="1"/>
  <c r="D25" i="27"/>
  <c r="C49" i="5"/>
  <c r="C46" i="5"/>
  <c r="C47" i="5"/>
  <c r="C21" i="5"/>
  <c r="C22" i="5"/>
  <c r="C23" i="5"/>
  <c r="C40" i="5"/>
  <c r="C15" i="5"/>
  <c r="C16" i="5"/>
  <c r="C17" i="5"/>
  <c r="C5" i="5"/>
  <c r="C3" i="5"/>
  <c r="C4" i="5"/>
  <c r="C66" i="4"/>
  <c r="C67" i="4"/>
  <c r="C68" i="4"/>
  <c r="C69" i="4"/>
  <c r="C44" i="4"/>
  <c r="C43" i="4"/>
  <c r="C41" i="4"/>
  <c r="C42" i="4"/>
  <c r="C54" i="4"/>
  <c r="C55" i="4"/>
  <c r="C56" i="4"/>
  <c r="C57" i="4"/>
  <c r="C78" i="4"/>
  <c r="C58" i="4"/>
  <c r="C59" i="4"/>
  <c r="C60" i="4"/>
  <c r="C61" i="4"/>
  <c r="C62" i="4"/>
  <c r="C63" i="4"/>
  <c r="C64" i="4"/>
  <c r="C65" i="4"/>
  <c r="C70" i="4"/>
  <c r="C77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33" i="4"/>
  <c r="C32" i="4"/>
  <c r="C31" i="4"/>
  <c r="C6" i="2"/>
  <c r="D77" i="2"/>
  <c r="B5" i="11" s="1"/>
  <c r="C5" i="11" s="1"/>
  <c r="C4" i="2"/>
  <c r="C5" i="2"/>
  <c r="C10" i="2"/>
  <c r="C11" i="2"/>
  <c r="C12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3" i="2"/>
  <c r="C2" i="2"/>
  <c r="I6" i="11"/>
  <c r="B25" i="11"/>
  <c r="C25" i="11" s="1"/>
  <c r="B23" i="11"/>
  <c r="C23" i="11" s="1"/>
  <c r="B22" i="11"/>
  <c r="C22" i="11" s="1"/>
  <c r="B21" i="11"/>
  <c r="C21" i="11" s="1"/>
  <c r="B20" i="11"/>
  <c r="C20" i="11" s="1"/>
  <c r="B18" i="11"/>
  <c r="C18" i="11" s="1"/>
  <c r="B17" i="11"/>
  <c r="C17" i="11" s="1"/>
  <c r="B13" i="11"/>
  <c r="C13" i="11" s="1"/>
  <c r="B12" i="11"/>
  <c r="C12" i="11" s="1"/>
  <c r="C9" i="11"/>
  <c r="B6" i="11"/>
  <c r="C6" i="11" s="1"/>
  <c r="B4" i="11"/>
  <c r="C4" i="11" s="1"/>
  <c r="B3" i="11"/>
  <c r="C3" i="11" s="1"/>
  <c r="B2" i="11"/>
  <c r="C2" i="11" s="1"/>
  <c r="G192" i="1"/>
  <c r="B1" i="11"/>
  <c r="C1" i="11" s="1"/>
  <c r="B28" i="11"/>
  <c r="C28" i="11" s="1"/>
  <c r="E25" i="27"/>
  <c r="E379" i="7"/>
  <c r="F379" i="7" s="1"/>
  <c r="D379" i="7"/>
  <c r="D374" i="7"/>
  <c r="D375" i="7"/>
  <c r="D376" i="7"/>
  <c r="D377" i="7"/>
  <c r="D373" i="7"/>
  <c r="D371" i="7"/>
  <c r="D370" i="7"/>
  <c r="D368" i="7"/>
  <c r="D363" i="7"/>
  <c r="D364" i="7"/>
  <c r="D365" i="7"/>
  <c r="D366" i="7"/>
  <c r="D362" i="7"/>
  <c r="D360" i="7"/>
  <c r="D359" i="7"/>
  <c r="D354" i="7"/>
  <c r="D355" i="7"/>
  <c r="D356" i="7"/>
  <c r="D357" i="7"/>
  <c r="D353" i="7"/>
  <c r="D346" i="7"/>
  <c r="D344" i="7"/>
  <c r="D340" i="7"/>
  <c r="D341" i="7"/>
  <c r="D342" i="7"/>
  <c r="D339" i="7"/>
  <c r="D337" i="7"/>
  <c r="D331" i="7"/>
  <c r="D330" i="7"/>
  <c r="D333" i="7"/>
  <c r="D334" i="7"/>
  <c r="D335" i="7"/>
  <c r="D329" i="7"/>
  <c r="D323" i="7"/>
  <c r="D324" i="7"/>
  <c r="D325" i="7"/>
  <c r="D326" i="7"/>
  <c r="D327" i="7"/>
  <c r="D322" i="7"/>
  <c r="D320" i="7"/>
  <c r="D319" i="7"/>
  <c r="D316" i="7"/>
  <c r="D295" i="7"/>
  <c r="D296" i="7"/>
  <c r="D297" i="7"/>
  <c r="D298" i="7"/>
  <c r="D299" i="7"/>
  <c r="D294" i="7"/>
  <c r="D290" i="7"/>
  <c r="D283" i="7"/>
  <c r="D284" i="7"/>
  <c r="D285" i="7"/>
  <c r="D286" i="7"/>
  <c r="D287" i="7"/>
  <c r="D288" i="7"/>
  <c r="D282" i="7"/>
  <c r="D272" i="7"/>
  <c r="D273" i="7"/>
  <c r="D274" i="7"/>
  <c r="D275" i="7"/>
  <c r="D276" i="7"/>
  <c r="D277" i="7"/>
  <c r="D278" i="7"/>
  <c r="D279" i="7"/>
  <c r="D280" i="7"/>
  <c r="D27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51" i="7"/>
  <c r="D248" i="7"/>
  <c r="D237" i="7"/>
  <c r="D224" i="7"/>
  <c r="D225" i="7"/>
  <c r="D226" i="7"/>
  <c r="D227" i="7"/>
  <c r="D228" i="7"/>
  <c r="D229" i="7"/>
  <c r="D230" i="7"/>
  <c r="D231" i="7"/>
  <c r="D232" i="7"/>
  <c r="D233" i="7"/>
  <c r="D223" i="7"/>
  <c r="D218" i="7"/>
  <c r="D219" i="7"/>
  <c r="D220" i="7"/>
  <c r="D217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180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64" i="7"/>
  <c r="D144" i="7"/>
  <c r="D128" i="7"/>
  <c r="D129" i="7"/>
  <c r="D130" i="7"/>
  <c r="D131" i="7"/>
  <c r="D132" i="7"/>
  <c r="D133" i="7"/>
  <c r="D141" i="7"/>
  <c r="D142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10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5" i="7"/>
  <c r="D16" i="7"/>
  <c r="D17" i="7"/>
  <c r="D18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9" i="7"/>
  <c r="D60" i="7"/>
  <c r="D61" i="7"/>
  <c r="D62" i="7"/>
  <c r="D63" i="7"/>
  <c r="D64" i="7"/>
  <c r="D65" i="7"/>
  <c r="D7" i="7"/>
  <c r="D8" i="7"/>
  <c r="D9" i="7"/>
  <c r="D10" i="7"/>
  <c r="D11" i="7"/>
  <c r="D12" i="7"/>
  <c r="D13" i="7"/>
  <c r="D3" i="7"/>
  <c r="D4" i="7"/>
  <c r="D6" i="7"/>
  <c r="D2" i="7"/>
  <c r="E681" i="24"/>
  <c r="F681" i="24" s="1"/>
  <c r="D672" i="24"/>
  <c r="D673" i="24"/>
  <c r="D674" i="24"/>
  <c r="D675" i="24"/>
  <c r="D605" i="24"/>
  <c r="D606" i="24"/>
  <c r="D607" i="24"/>
  <c r="D608" i="24"/>
  <c r="D609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457" i="24"/>
  <c r="D458" i="24"/>
  <c r="D459" i="24"/>
  <c r="D460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12" i="24"/>
  <c r="D413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396" i="24"/>
  <c r="D397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390" i="24"/>
  <c r="D391" i="24"/>
  <c r="D392" i="24"/>
  <c r="D393" i="24"/>
  <c r="D39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69" i="24"/>
  <c r="D370" i="24"/>
  <c r="D371" i="24"/>
  <c r="D372" i="24"/>
  <c r="D373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9" i="24"/>
  <c r="D296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16" i="24"/>
  <c r="D217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95" i="24"/>
  <c r="D96" i="24"/>
  <c r="D97" i="24"/>
  <c r="D98" i="24"/>
  <c r="D99" i="24"/>
  <c r="D93" i="24"/>
  <c r="D94" i="24"/>
  <c r="D90" i="24"/>
  <c r="D91" i="24"/>
  <c r="D87" i="24"/>
  <c r="D88" i="24"/>
  <c r="D84" i="24"/>
  <c r="D85" i="24"/>
  <c r="D79" i="24"/>
  <c r="D80" i="24"/>
  <c r="D81" i="24"/>
  <c r="D82" i="24"/>
  <c r="D72" i="24"/>
  <c r="D73" i="24"/>
  <c r="D74" i="24"/>
  <c r="D75" i="24"/>
  <c r="D76" i="24"/>
  <c r="D77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8" i="24"/>
  <c r="D9" i="24"/>
  <c r="D10" i="24"/>
  <c r="D11" i="24"/>
  <c r="D3" i="24"/>
  <c r="D4" i="24"/>
  <c r="D5" i="24"/>
  <c r="D6" i="24"/>
  <c r="D7" i="24"/>
  <c r="D2" i="24"/>
  <c r="E158" i="23"/>
  <c r="F158" i="23" s="1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16" i="23"/>
  <c r="D117" i="23"/>
  <c r="D118" i="23"/>
  <c r="D119" i="23"/>
  <c r="D120" i="23"/>
  <c r="D121" i="23"/>
  <c r="D122" i="23"/>
  <c r="D123" i="23"/>
  <c r="D124" i="23"/>
  <c r="D125" i="23"/>
  <c r="D112" i="23"/>
  <c r="D113" i="23"/>
  <c r="D114" i="23"/>
  <c r="D107" i="23"/>
  <c r="D108" i="23"/>
  <c r="D109" i="23"/>
  <c r="D110" i="23"/>
  <c r="D96" i="23"/>
  <c r="D97" i="23"/>
  <c r="D98" i="23"/>
  <c r="D99" i="23"/>
  <c r="D100" i="23"/>
  <c r="D101" i="23"/>
  <c r="D102" i="23"/>
  <c r="D103" i="23"/>
  <c r="D104" i="23"/>
  <c r="D105" i="23"/>
  <c r="D93" i="23"/>
  <c r="D94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67" i="23"/>
  <c r="D68" i="23"/>
  <c r="D69" i="23"/>
  <c r="D70" i="23"/>
  <c r="D71" i="23"/>
  <c r="D72" i="23"/>
  <c r="D73" i="23"/>
  <c r="D74" i="23"/>
  <c r="D58" i="23"/>
  <c r="D59" i="23"/>
  <c r="D60" i="23"/>
  <c r="D61" i="23"/>
  <c r="D62" i="23"/>
  <c r="D63" i="23"/>
  <c r="D64" i="23"/>
  <c r="D65" i="23"/>
  <c r="D51" i="23"/>
  <c r="D52" i="23"/>
  <c r="D53" i="23"/>
  <c r="D54" i="23"/>
  <c r="D55" i="23"/>
  <c r="D5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31" i="23"/>
  <c r="D32" i="23"/>
  <c r="D33" i="23"/>
  <c r="D34" i="23"/>
  <c r="D35" i="23"/>
  <c r="D23" i="23"/>
  <c r="D24" i="23"/>
  <c r="D25" i="23"/>
  <c r="D26" i="23"/>
  <c r="D27" i="23"/>
  <c r="D28" i="23"/>
  <c r="D29" i="23"/>
  <c r="D17" i="23"/>
  <c r="D18" i="23"/>
  <c r="D19" i="23"/>
  <c r="D20" i="23"/>
  <c r="D21" i="23"/>
  <c r="D12" i="23"/>
  <c r="D13" i="23"/>
  <c r="D14" i="23"/>
  <c r="D15" i="23"/>
  <c r="D3" i="23"/>
  <c r="D5" i="23"/>
  <c r="D6" i="23"/>
  <c r="D7" i="23"/>
  <c r="D8" i="23"/>
  <c r="D10" i="23"/>
  <c r="D2" i="23"/>
  <c r="E356" i="6"/>
  <c r="F356" i="6" s="1"/>
  <c r="D337" i="6"/>
  <c r="D82" i="6"/>
  <c r="D83" i="6"/>
  <c r="D84" i="6"/>
  <c r="D72" i="6"/>
  <c r="D73" i="6"/>
  <c r="D167" i="6"/>
  <c r="D168" i="6"/>
  <c r="D208" i="6"/>
  <c r="D288" i="6"/>
  <c r="D289" i="6"/>
  <c r="D290" i="6"/>
  <c r="D291" i="6"/>
  <c r="D292" i="6"/>
  <c r="D293" i="6"/>
  <c r="D294" i="6"/>
  <c r="D295" i="6"/>
  <c r="D198" i="6"/>
  <c r="D199" i="6"/>
  <c r="D200" i="6"/>
  <c r="D174" i="6"/>
  <c r="D175" i="6"/>
  <c r="D176" i="6"/>
  <c r="D177" i="6"/>
  <c r="D152" i="6"/>
  <c r="D153" i="6"/>
  <c r="D154" i="6"/>
  <c r="D90" i="6"/>
  <c r="D91" i="6"/>
  <c r="D60" i="6"/>
  <c r="D61" i="6"/>
  <c r="D62" i="6"/>
  <c r="D43" i="6"/>
  <c r="D44" i="6"/>
  <c r="D21" i="6"/>
  <c r="D22" i="6"/>
  <c r="D23" i="6"/>
  <c r="D11" i="6"/>
  <c r="D18" i="21"/>
  <c r="E18" i="21"/>
  <c r="D5" i="21"/>
  <c r="E5" i="21" s="1"/>
  <c r="C146" i="20"/>
  <c r="D146" i="20" s="1"/>
  <c r="D26" i="18"/>
  <c r="E26" i="18"/>
  <c r="D18" i="18"/>
  <c r="E18" i="18"/>
  <c r="D58" i="16"/>
  <c r="E58" i="16" s="1"/>
  <c r="C85" i="15"/>
  <c r="B14" i="11" s="1"/>
  <c r="C14" i="11" s="1"/>
  <c r="E62" i="9"/>
  <c r="F62" i="9"/>
  <c r="E57" i="9"/>
  <c r="F57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E48" i="9"/>
  <c r="F48" i="9" s="1"/>
  <c r="E30" i="9"/>
  <c r="F30" i="9" s="1"/>
  <c r="D99" i="5"/>
  <c r="E99" i="5" s="1"/>
  <c r="D210" i="4"/>
  <c r="E210" i="4" s="1"/>
  <c r="E12" i="9"/>
  <c r="F12" i="9" s="1"/>
  <c r="E83" i="1"/>
  <c r="E82" i="1"/>
  <c r="E10" i="1"/>
  <c r="E102" i="1"/>
  <c r="E101" i="1"/>
  <c r="E100" i="1"/>
  <c r="E89" i="1"/>
  <c r="E74" i="1"/>
  <c r="E73" i="1"/>
  <c r="E64" i="1"/>
  <c r="E63" i="1"/>
  <c r="E62" i="1"/>
  <c r="E61" i="1"/>
  <c r="E60" i="1"/>
  <c r="E59" i="1"/>
  <c r="E47" i="1"/>
  <c r="E46" i="1"/>
  <c r="E17" i="1"/>
  <c r="E16" i="1"/>
  <c r="E15" i="1"/>
  <c r="E14" i="1"/>
  <c r="E4" i="1"/>
  <c r="E189" i="1"/>
  <c r="E185" i="1"/>
  <c r="E184" i="1"/>
  <c r="E183" i="1"/>
  <c r="E182" i="1"/>
  <c r="E120" i="1"/>
  <c r="E119" i="1"/>
  <c r="E99" i="1"/>
  <c r="E98" i="1"/>
  <c r="E86" i="1"/>
  <c r="E85" i="1"/>
  <c r="E84" i="1"/>
  <c r="E81" i="1"/>
  <c r="E80" i="1"/>
  <c r="E66" i="1"/>
  <c r="E13" i="1"/>
  <c r="E171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44" i="1"/>
  <c r="E143" i="1"/>
  <c r="E142" i="1"/>
  <c r="E141" i="1"/>
  <c r="E140" i="1"/>
  <c r="E139" i="1"/>
  <c r="E138" i="1"/>
  <c r="E137" i="1"/>
  <c r="E136" i="1"/>
  <c r="E135" i="1"/>
  <c r="E149" i="1"/>
  <c r="E148" i="1"/>
  <c r="E147" i="1"/>
  <c r="E146" i="1"/>
  <c r="E133" i="1"/>
  <c r="E132" i="1"/>
  <c r="E131" i="1"/>
  <c r="E128" i="1"/>
  <c r="E127" i="1"/>
  <c r="E125" i="1"/>
  <c r="E124" i="1"/>
  <c r="E123" i="1"/>
  <c r="E118" i="1"/>
  <c r="E117" i="1"/>
  <c r="E116" i="1"/>
  <c r="E115" i="1"/>
  <c r="E114" i="1"/>
  <c r="E113" i="1"/>
  <c r="E69" i="1"/>
  <c r="E68" i="1"/>
  <c r="E45" i="1"/>
  <c r="E44" i="1"/>
  <c r="E43" i="1"/>
  <c r="E42" i="1"/>
  <c r="E41" i="1"/>
  <c r="E40" i="1"/>
  <c r="E39" i="1"/>
  <c r="E97" i="1"/>
  <c r="E96" i="1"/>
  <c r="E79" i="1"/>
  <c r="E78" i="1"/>
  <c r="E77" i="1"/>
  <c r="E76" i="1"/>
  <c r="E58" i="1"/>
  <c r="E50" i="1"/>
  <c r="E4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6" i="1"/>
  <c r="E108" i="1"/>
  <c r="E107" i="1"/>
  <c r="E106" i="1"/>
  <c r="E105" i="1"/>
  <c r="E104" i="1"/>
  <c r="E88" i="1"/>
  <c r="E57" i="1"/>
  <c r="E20" i="1"/>
  <c r="E19" i="1"/>
  <c r="E3" i="1"/>
  <c r="E188" i="1"/>
  <c r="E187" i="1"/>
  <c r="E177" i="1"/>
  <c r="E110" i="1"/>
  <c r="E95" i="1"/>
  <c r="E94" i="1"/>
  <c r="E93" i="1"/>
  <c r="E92" i="1"/>
  <c r="E91" i="1"/>
  <c r="E72" i="1"/>
  <c r="E71" i="1"/>
  <c r="E56" i="1"/>
  <c r="E55" i="1"/>
  <c r="E54" i="1"/>
  <c r="E53" i="1"/>
  <c r="E52" i="1"/>
  <c r="E12" i="1"/>
  <c r="E11" i="1"/>
  <c r="E9" i="1"/>
  <c r="E8" i="1"/>
  <c r="E181" i="1"/>
  <c r="E180" i="1"/>
  <c r="E175" i="1"/>
  <c r="D356" i="6"/>
  <c r="D355" i="6"/>
  <c r="D354" i="6"/>
  <c r="D353" i="6"/>
  <c r="D352" i="6"/>
  <c r="D351" i="6"/>
  <c r="D350" i="6"/>
  <c r="D349" i="6"/>
  <c r="D348" i="6"/>
  <c r="D345" i="6"/>
  <c r="D343" i="6"/>
  <c r="D342" i="6"/>
  <c r="D341" i="6"/>
  <c r="D340" i="6"/>
  <c r="D336" i="6"/>
  <c r="D335" i="6"/>
  <c r="D334" i="6"/>
  <c r="D333" i="6"/>
  <c r="D332" i="6"/>
  <c r="D331" i="6"/>
  <c r="D330" i="6"/>
  <c r="D329" i="6"/>
  <c r="D328" i="6"/>
  <c r="D326" i="6"/>
  <c r="D325" i="6"/>
  <c r="D324" i="6"/>
  <c r="D323" i="6"/>
  <c r="D322" i="6"/>
  <c r="D320" i="6"/>
  <c r="D319" i="6"/>
  <c r="D318" i="6"/>
  <c r="D315" i="6"/>
  <c r="D312" i="6"/>
  <c r="D311" i="6"/>
  <c r="D310" i="6"/>
  <c r="D309" i="6"/>
  <c r="D308" i="6"/>
  <c r="D307" i="6"/>
  <c r="D306" i="6"/>
  <c r="D305" i="6"/>
  <c r="D303" i="6"/>
  <c r="D302" i="6"/>
  <c r="D301" i="6"/>
  <c r="D300" i="6"/>
  <c r="D298" i="6"/>
  <c r="D297" i="6"/>
  <c r="D296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4" i="6"/>
  <c r="D223" i="6"/>
  <c r="D222" i="6"/>
  <c r="D219" i="6"/>
  <c r="D218" i="6"/>
  <c r="D217" i="6"/>
  <c r="D216" i="6"/>
  <c r="D215" i="6"/>
  <c r="D214" i="6"/>
  <c r="D213" i="6"/>
  <c r="D212" i="6"/>
  <c r="D211" i="6"/>
  <c r="D210" i="6"/>
  <c r="D209" i="6"/>
  <c r="D203" i="6"/>
  <c r="D202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3" i="6"/>
  <c r="D172" i="6"/>
  <c r="D171" i="6"/>
  <c r="D170" i="6"/>
  <c r="D169" i="6"/>
  <c r="D162" i="6"/>
  <c r="D161" i="6"/>
  <c r="D159" i="6"/>
  <c r="D158" i="6"/>
  <c r="D157" i="6"/>
  <c r="D156" i="6"/>
  <c r="D155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89" i="6"/>
  <c r="D88" i="6"/>
  <c r="D87" i="6"/>
  <c r="D86" i="6"/>
  <c r="D85" i="6"/>
  <c r="D81" i="6"/>
  <c r="D80" i="6"/>
  <c r="D79" i="6"/>
  <c r="D78" i="6"/>
  <c r="D77" i="6"/>
  <c r="D76" i="6"/>
  <c r="D75" i="6"/>
  <c r="D74" i="6"/>
  <c r="D71" i="6"/>
  <c r="D70" i="6"/>
  <c r="D69" i="6"/>
  <c r="D68" i="6"/>
  <c r="D67" i="6"/>
  <c r="D65" i="6"/>
  <c r="D64" i="6"/>
  <c r="D63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0" i="6"/>
  <c r="D19" i="6"/>
  <c r="D18" i="6"/>
  <c r="D17" i="6"/>
  <c r="D16" i="6"/>
  <c r="D15" i="6"/>
  <c r="D14" i="6"/>
  <c r="D13" i="6"/>
  <c r="D12" i="6"/>
  <c r="D8" i="6"/>
  <c r="D7" i="6"/>
  <c r="D6" i="6"/>
  <c r="D5" i="6"/>
  <c r="D4" i="6"/>
  <c r="D3" i="6"/>
  <c r="D2" i="6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48" i="5"/>
  <c r="C20" i="5"/>
  <c r="C19" i="5"/>
  <c r="C18" i="5"/>
  <c r="C2" i="5"/>
  <c r="C23" i="4"/>
  <c r="C10" i="4"/>
  <c r="C9" i="4"/>
  <c r="C8" i="4"/>
  <c r="C7" i="4"/>
  <c r="C6" i="4"/>
  <c r="C5" i="4"/>
  <c r="C4" i="4"/>
  <c r="C3" i="4"/>
  <c r="C2" i="4"/>
  <c r="B24" i="11" l="1"/>
  <c r="C24" i="11" s="1"/>
  <c r="E34" i="27"/>
  <c r="B27" i="11"/>
  <c r="C27" i="11" s="1"/>
  <c r="B19" i="11"/>
  <c r="C19" i="11" s="1"/>
  <c r="B15" i="11"/>
  <c r="C15" i="11" s="1"/>
  <c r="B16" i="11"/>
  <c r="C16" i="11" s="1"/>
  <c r="B8" i="11"/>
  <c r="G1" i="11" s="1"/>
  <c r="B7" i="11"/>
  <c r="C7" i="11" s="1"/>
  <c r="D13" i="11"/>
  <c r="D14" i="11"/>
  <c r="D18" i="11"/>
  <c r="D25" i="11"/>
  <c r="D26" i="11"/>
  <c r="G6" i="11"/>
  <c r="G2" i="11"/>
  <c r="G9" i="11" s="1"/>
  <c r="F192" i="1"/>
  <c r="E77" i="2"/>
  <c r="D85" i="15"/>
  <c r="D70" i="26"/>
  <c r="D19" i="11" l="1"/>
  <c r="D16" i="11"/>
  <c r="G8" i="11"/>
  <c r="H9" i="11" s="1"/>
  <c r="C8" i="11"/>
  <c r="G7" i="11" l="1"/>
</calcChain>
</file>

<file path=xl/sharedStrings.xml><?xml version="1.0" encoding="utf-8"?>
<sst xmlns="http://schemas.openxmlformats.org/spreadsheetml/2006/main" count="2957" uniqueCount="2567">
  <si>
    <t>.bss</t>
  </si>
  <si>
    <t>.rodata</t>
  </si>
  <si>
    <t>3C000020</t>
  </si>
  <si>
    <t>.data</t>
  </si>
  <si>
    <t>3FC87460</t>
  </si>
  <si>
    <t>libphy.a(phy_tsens.o):(.rodata.phy_tsens_attribute)</t>
  </si>
  <si>
    <t>.libpp</t>
  </si>
  <si>
    <t>.libwpa-suppl</t>
  </si>
  <si>
    <t>libnet80211.a</t>
  </si>
  <si>
    <t>ieee80211_api.o</t>
  </si>
  <si>
    <t>ieee80211_hostap.o</t>
  </si>
  <si>
    <t>.wifi0iram.46</t>
  </si>
  <si>
    <t>wifi_softap_cur_max_ap_bss_num</t>
  </si>
  <si>
    <t>ieee80211_ht.o</t>
  </si>
  <si>
    <t>ieee80211_ioctl.o</t>
  </si>
  <si>
    <t>ieee80211_output.o</t>
  </si>
  <si>
    <t>.wifirxiram.34</t>
  </si>
  <si>
    <t>.wifi0iram.20</t>
  </si>
  <si>
    <t>ieee80211_encap_esfbuf</t>
  </si>
  <si>
    <t>.wifi0iram.10</t>
  </si>
  <si>
    <t>ieee80211_output_process</t>
  </si>
  <si>
    <t>libpp.a</t>
  </si>
  <si>
    <t>lmac.o</t>
  </si>
  <si>
    <t>.wifi0iram.41</t>
  </si>
  <si>
    <t>lmacMSDUAged</t>
  </si>
  <si>
    <t>lmacAdjustTimestamp</t>
  </si>
  <si>
    <t>lmacTxFrame</t>
  </si>
  <si>
    <t>lmacTxDone</t>
  </si>
  <si>
    <t>lmacEndFrameExchangeSequence</t>
  </si>
  <si>
    <t>pp.o</t>
  </si>
  <si>
    <t>.wifi0iram.57</t>
  </si>
  <si>
    <t>.wifi0iram.58</t>
  </si>
  <si>
    <t>.wifi0iram.62</t>
  </si>
  <si>
    <t>.wifi0iram.25</t>
  </si>
  <si>
    <t>.wifi0iram.22</t>
  </si>
  <si>
    <t>pp_coex_tx_request</t>
  </si>
  <si>
    <t>.wifi0iram.64</t>
  </si>
  <si>
    <t>ppMapTxQueue</t>
  </si>
  <si>
    <t>ppCalTxAMPDULength</t>
  </si>
  <si>
    <t>.wifi0iram.40</t>
  </si>
  <si>
    <t>ppProcessLifeTime</t>
  </si>
  <si>
    <t>.wifi0iram.73</t>
  </si>
  <si>
    <t>trc.o</t>
  </si>
  <si>
    <t>rcUpdateTxDone</t>
  </si>
  <si>
    <t>.wifi0iram.8</t>
  </si>
  <si>
    <t>rcGetSched</t>
  </si>
  <si>
    <t>.wifi0iram.11</t>
  </si>
  <si>
    <t>hal_mac.o</t>
  </si>
  <si>
    <t>hal_mac_tx_config_timeout</t>
  </si>
  <si>
    <t>.wifi0iram.4</t>
  </si>
  <si>
    <t>hal_mac_tx_config_edca</t>
  </si>
  <si>
    <t>.wifi0iram.5</t>
  </si>
  <si>
    <t>hal_mac_txq_enable</t>
  </si>
  <si>
    <t>.wifi0iram.6</t>
  </si>
  <si>
    <t>hal_random</t>
  </si>
  <si>
    <t>.wifi0iram.9</t>
  </si>
  <si>
    <t>hal_mac_deinit</t>
  </si>
  <si>
    <t>hal_mac_tx.o</t>
  </si>
  <si>
    <t>hal_mac_tx_is_cbw40</t>
  </si>
  <si>
    <t>.wifi0iram.3</t>
  </si>
  <si>
    <t>ieee80211_ampdu_reorder</t>
  </si>
  <si>
    <t>sta_input</t>
  </si>
  <si>
    <t>.wifirxiram.45</t>
  </si>
  <si>
    <t>ieee80211_sta.o</t>
  </si>
  <si>
    <t>sta_rx_cb</t>
  </si>
  <si>
    <t>.wifirxiram.51</t>
  </si>
  <si>
    <t>esf_buf_recycle</t>
  </si>
  <si>
    <t>.wifirxiram.9</t>
  </si>
  <si>
    <t>esf_buf.o</t>
  </si>
  <si>
    <t>pm.o</t>
  </si>
  <si>
    <t>pm_rx_data_process</t>
  </si>
  <si>
    <t>.wifirxiram.48</t>
  </si>
  <si>
    <t>pm_hmac_rx_data_process</t>
  </si>
  <si>
    <t>.wifirxiram.49</t>
  </si>
  <si>
    <t>ppRxFragmentProc</t>
  </si>
  <si>
    <t>.wifirxiram.26</t>
  </si>
  <si>
    <t>hal_clear_rx_beacon_pti</t>
  </si>
  <si>
    <t>.wifirxiram.2</t>
  </si>
  <si>
    <t>hal_coex.o</t>
  </si>
  <si>
    <t>hal_mac_rx_get_last_dscr</t>
  </si>
  <si>
    <t>.wifirxiram.3</t>
  </si>
  <si>
    <t>hal_mac_rx.o</t>
  </si>
  <si>
    <t>hal_mac_rx_is_dscr_reload</t>
  </si>
  <si>
    <t>.wifirxiram.4</t>
  </si>
  <si>
    <t>hal_mac_rx_set_dscr_reload</t>
  </si>
  <si>
    <t>.wifirxiram.5</t>
  </si>
  <si>
    <t>sta_reset_beacon_timeout</t>
  </si>
  <si>
    <t>.wifislprxiram.119</t>
  </si>
  <si>
    <t>esf_buf_alloc</t>
  </si>
  <si>
    <t>.wifislprxiram.7</t>
  </si>
  <si>
    <t>ic_mac_deinit</t>
  </si>
  <si>
    <t>.wifislprxiram.12</t>
  </si>
  <si>
    <t>if_hwctrl.o</t>
  </si>
  <si>
    <t>pm_scale_listen_interval</t>
  </si>
  <si>
    <t>.wifislprxiram.6</t>
  </si>
  <si>
    <t>pm_get_tbtt_count</t>
  </si>
  <si>
    <t>.wifislprxiram.25</t>
  </si>
  <si>
    <t>pm_parse_beacon</t>
  </si>
  <si>
    <t>.wifislprxiram.10</t>
  </si>
  <si>
    <t>pm_save_tbtt_info</t>
  </si>
  <si>
    <t>.wifislprxiram.26</t>
  </si>
  <si>
    <t>pm_beacon_monitor_tbtt_start</t>
  </si>
  <si>
    <t>.wifislprxiram.28</t>
  </si>
  <si>
    <t>pm_beacon_monitor_tbtt_stop</t>
  </si>
  <si>
    <t>.wifislprxiram.29</t>
  </si>
  <si>
    <t>pm_enable_beacon_monitor_timer</t>
  </si>
  <si>
    <t>.wifislprxiram.30</t>
  </si>
  <si>
    <t>pm_disable_beacon_monitor_timer</t>
  </si>
  <si>
    <t>.wifislprxiram.31</t>
  </si>
  <si>
    <t>pm_dream</t>
  </si>
  <si>
    <t>.wifislprxiram.32</t>
  </si>
  <si>
    <t>pm_sleep</t>
  </si>
  <si>
    <t>.wifislprxiram.33</t>
  </si>
  <si>
    <t>pm_check_state</t>
  </si>
  <si>
    <t>.wifislprxiram.34</t>
  </si>
  <si>
    <t>pm_beacon_monitor_timeout_process</t>
  </si>
  <si>
    <t>.wifislprxiram.41</t>
  </si>
  <si>
    <t>pm_process_tim</t>
  </si>
  <si>
    <t>.wifislprxiram.40</t>
  </si>
  <si>
    <t>pm_rx_beacon_process</t>
  </si>
  <si>
    <t>.wifislprxiram.46</t>
  </si>
  <si>
    <t>pm_tbtt_process</t>
  </si>
  <si>
    <t>.wifislprxiram.45</t>
  </si>
  <si>
    <t>pm_beacon_monitor_tbtt_timeout_process</t>
  </si>
  <si>
    <t>.wifislprxiram.42</t>
  </si>
  <si>
    <t>pm_on_tsf_timer</t>
  </si>
  <si>
    <t>.wifislprxiram.51</t>
  </si>
  <si>
    <t>pm_on_beacon_rx</t>
  </si>
  <si>
    <t>.wifislprxiram.53</t>
  </si>
  <si>
    <t>pm_coex_schm_overall_period_get</t>
  </si>
  <si>
    <t>.wifislprxiram.4</t>
  </si>
  <si>
    <t>pm_coex.o</t>
  </si>
  <si>
    <t>pm_coex_pwr_update</t>
  </si>
  <si>
    <t>.wifislprxiram.5</t>
  </si>
  <si>
    <t>ppRxPkt</t>
  </si>
  <si>
    <t>wDev_record_ftm_data</t>
  </si>
  <si>
    <t>.wifislprxiram.24</t>
  </si>
  <si>
    <t>wdev.o</t>
  </si>
  <si>
    <t>wDev_AppendRxBlocks</t>
  </si>
  <si>
    <t>.wifislprxiram.48</t>
  </si>
  <si>
    <t>wDev_IndicateFrame</t>
  </si>
  <si>
    <t>.wifislprxiram.19</t>
  </si>
  <si>
    <t>wDev_ProcessRxSucData</t>
  </si>
  <si>
    <t>hal_mac_rx_read_rxdscrnext</t>
  </si>
  <si>
    <t>hal_mac_rx_set_base</t>
  </si>
  <si>
    <t>.wifislprxiram.13</t>
  </si>
  <si>
    <t>pm_get_connectionless_status</t>
  </si>
  <si>
    <t>.wifislpiram.5</t>
  </si>
  <si>
    <t>pm_enable_dream_timer</t>
  </si>
  <si>
    <t>.wifislpiram.22</t>
  </si>
  <si>
    <t>pm_update_by_connectionless_status</t>
  </si>
  <si>
    <t>.wifislpiram.24</t>
  </si>
  <si>
    <t>pm_handle_tbtt_interval</t>
  </si>
  <si>
    <t>.wifislpiram.36</t>
  </si>
  <si>
    <t>pm_update_next_tbtt</t>
  </si>
  <si>
    <t>.wifislpiram.38</t>
  </si>
  <si>
    <t>pm_connectionless_wake_interval_timeout_process</t>
  </si>
  <si>
    <t>.wifislpiram.43</t>
  </si>
  <si>
    <t>pm_connectionless_wake_window_timeout_process</t>
  </si>
  <si>
    <t>.wifislpiram.44</t>
  </si>
  <si>
    <t>pp_timer_tbtt</t>
  </si>
  <si>
    <t>.wifislpiram.3</t>
  </si>
  <si>
    <t>pp_timer.o</t>
  </si>
  <si>
    <t>pp_timer_do_process</t>
  </si>
  <si>
    <t>.wifislpiram.4</t>
  </si>
  <si>
    <t>hal_get_sta_tsf</t>
  </si>
  <si>
    <t>hal_tsf.o</t>
  </si>
  <si>
    <t>hal_pwr.o</t>
  </si>
  <si>
    <t>hal_set_sta_light_sleep_wake_ahead_time</t>
  </si>
  <si>
    <t>.wifislpiram.7</t>
  </si>
  <si>
    <t>hal_get_time_to_sta_next_tbtt</t>
  </si>
  <si>
    <t>.wifislpiram.8</t>
  </si>
  <si>
    <t>tsf_hal_get_counter_value</t>
  </si>
  <si>
    <t>.wifislpiram.14</t>
  </si>
  <si>
    <t>tsf_hal_get_time</t>
  </si>
  <si>
    <t>.wifislpiram.16</t>
  </si>
  <si>
    <t>tsf_hal_get_tbtt_interval</t>
  </si>
  <si>
    <t>.wifislpiram.30</t>
  </si>
  <si>
    <t>phy_wakeup_init</t>
  </si>
  <si>
    <t>.iram1</t>
  </si>
  <si>
    <t>phy_api.o</t>
  </si>
  <si>
    <t>libphy.a</t>
  </si>
  <si>
    <t>phy_close_rf</t>
  </si>
  <si>
    <t>phy_xpd_tsens</t>
  </si>
  <si>
    <t>rom1_i2c_master_reset</t>
  </si>
  <si>
    <t>phy_basic.o</t>
  </si>
  <si>
    <t>rom_set_chan_reg</t>
  </si>
  <si>
    <t>wait_freq_set_busy</t>
  </si>
  <si>
    <t>phy_hw_freq.o</t>
  </si>
  <si>
    <t>phy_feature.o</t>
  </si>
  <si>
    <t>ram1_phy_dis_hw_set_freq</t>
  </si>
  <si>
    <t>rom1_phy_en_hw_set_freq</t>
  </si>
  <si>
    <t>rom_phy_xpd_rf</t>
  </si>
  <si>
    <t>phy_init.o</t>
  </si>
  <si>
    <t>rom_phy_reg_init</t>
  </si>
  <si>
    <t>ram1_phy_wakeup_init</t>
  </si>
  <si>
    <t>ram1_phy_close_rf</t>
  </si>
  <si>
    <t>bias_dreg_i2c_set.part.0</t>
  </si>
  <si>
    <t>phy_i2c.o</t>
  </si>
  <si>
    <t>bias_dreg_i2c_set</t>
  </si>
  <si>
    <t>rom1_get_i2c_hostid</t>
  </si>
  <si>
    <t>rom_set_txcap_reg</t>
  </si>
  <si>
    <t>phy_i2c_enter_critical</t>
  </si>
  <si>
    <t>phy_i2c_exit_critical</t>
  </si>
  <si>
    <t>rom1_chip_i2c_readReg</t>
  </si>
  <si>
    <t>rom1_chip_i2c_writeReg</t>
  </si>
  <si>
    <t>rom1_phy_i2c_init1</t>
  </si>
  <si>
    <t>phy_i2c_bbtop_wakeup</t>
  </si>
  <si>
    <t>ram1_set_pbus_reg</t>
  </si>
  <si>
    <t>phy_reg.o</t>
  </si>
  <si>
    <t>rom1_tx_paon_set</t>
  </si>
  <si>
    <t>btbb_wifi_bb_cfg2</t>
  </si>
  <si>
    <t>rx_11b_opt</t>
  </si>
  <si>
    <t>rom_agc_reg_init</t>
  </si>
  <si>
    <t>rom_bb_reg_init</t>
  </si>
  <si>
    <t>rom_write_txrate_power_offset</t>
  </si>
  <si>
    <t>rom_open_i2c_xpd</t>
  </si>
  <si>
    <t>rom_set_tx_dig_gain</t>
  </si>
  <si>
    <t>rom_bt_tx_dig_gain</t>
  </si>
  <si>
    <t>rom_wifi_agc_sat_gain</t>
  </si>
  <si>
    <t>rom_bt_filter_reg</t>
  </si>
  <si>
    <t>rom_phy_bbpll_cal</t>
  </si>
  <si>
    <t>rom_phy_freq_mem_backup</t>
  </si>
  <si>
    <t>rom_phy_ant_init</t>
  </si>
  <si>
    <t>rom1_disable_wifi_agc</t>
  </si>
  <si>
    <t>rom1_enable_wifi_agc</t>
  </si>
  <si>
    <t>ram1_fe_i2c_reg_renew</t>
  </si>
  <si>
    <t>phy_wifi_enable_set</t>
  </si>
  <si>
    <t>rom1_wifi_tx_dig_gain</t>
  </si>
  <si>
    <t>phy_tx_gain.o</t>
  </si>
  <si>
    <t>pm_get_null_max_tx_time</t>
  </si>
  <si>
    <t xml:space="preserve">.iram1.2 </t>
  </si>
  <si>
    <t>wifi_gpio_debug</t>
  </si>
  <si>
    <t>.iram1.4</t>
  </si>
  <si>
    <t>pp_debug.o</t>
  </si>
  <si>
    <t>wdev_record_rx_linked_list.part.10</t>
  </si>
  <si>
    <t>.iram1.43</t>
  </si>
  <si>
    <t>wdev_record_rx_linked_list</t>
  </si>
  <si>
    <t>wdev_process_tbtt</t>
  </si>
  <si>
    <t>.iram1.38</t>
  </si>
  <si>
    <t>wdev_process_tsf_timer</t>
  </si>
  <si>
    <t>.iram1.39</t>
  </si>
  <si>
    <t>wdev_process_beacon_filter</t>
  </si>
  <si>
    <t>.iram1.40</t>
  </si>
  <si>
    <t>wDev_ProcessFiq</t>
  </si>
  <si>
    <t>.iram1.41</t>
  </si>
  <si>
    <t>wdev_dump_rx_linked_list</t>
  </si>
  <si>
    <t>.iram1.44</t>
  </si>
  <si>
    <t>hal_mac_interrupt_get_event</t>
  </si>
  <si>
    <t>.iram1.15</t>
  </si>
  <si>
    <t>hal_mac_interrupt_clr_event</t>
  </si>
  <si>
    <t>.iram1.16</t>
  </si>
  <si>
    <t>hal_pwr_interrupt_get_event</t>
  </si>
  <si>
    <t>.iram1.2</t>
  </si>
  <si>
    <t>hal_pwr_interrupt_clr_event</t>
  </si>
  <si>
    <t>.iram1.3</t>
  </si>
  <si>
    <t>ieee80211_alloc_tx_buf</t>
  </si>
  <si>
    <t>.wifiextrairam.5</t>
  </si>
  <si>
    <t>ieee80211_post_hmac_tx</t>
  </si>
  <si>
    <t>.wifiextrairam.4</t>
  </si>
  <si>
    <t>ieee80211_output_do</t>
  </si>
  <si>
    <t>.wifiextrairam.6</t>
  </si>
  <si>
    <t>esp_wifi_internal_tx</t>
  </si>
  <si>
    <t>.wifiextrairam.9</t>
  </si>
  <si>
    <t>sta_rx_eapol</t>
  </si>
  <si>
    <t>.wifiextrairam.39</t>
  </si>
  <si>
    <t>wl_chm.o</t>
  </si>
  <si>
    <t>wl_cnx.o</t>
  </si>
  <si>
    <t>padding</t>
  </si>
  <si>
    <t>esf_buf_alloc_dynamic</t>
  </si>
  <si>
    <t>lmacSetTxFrame</t>
  </si>
  <si>
    <t>lmacDiscardFrameExchangeSequence</t>
  </si>
  <si>
    <t>.wifiextrairam.23</t>
  </si>
  <si>
    <t>lmacProcessTxSuccess</t>
  </si>
  <si>
    <t>.wifiextrairam.18</t>
  </si>
  <si>
    <t>lmacProcessTxComplete</t>
  </si>
  <si>
    <t>.wifiextrairam.38</t>
  </si>
  <si>
    <t>pm_tx_data_process</t>
  </si>
  <si>
    <t>.wifiextrairam.47</t>
  </si>
  <si>
    <t>pm_on_data_tx</t>
  </si>
  <si>
    <t>.wifiextrairam.55</t>
  </si>
  <si>
    <t>pp_coex_tx_release</t>
  </si>
  <si>
    <t>ppProcTxDone</t>
  </si>
  <si>
    <t>.wifiextrairam.20</t>
  </si>
  <si>
    <t>ppMapWaitTxq</t>
  </si>
  <si>
    <t>.wifiextrairam.62</t>
  </si>
  <si>
    <t>ppAssembleAMPDU</t>
  </si>
  <si>
    <t>.wifiextrairam.37</t>
  </si>
  <si>
    <t>ppDirectRecycleAmpdu</t>
  </si>
  <si>
    <t>.wifiextrairam.70</t>
  </si>
  <si>
    <t>ppRegressAmpdu</t>
  </si>
  <si>
    <t>.wifiextrairam.72</t>
  </si>
  <si>
    <t>rcGetRate</t>
  </si>
  <si>
    <t>.wifiextrairam.13</t>
  </si>
  <si>
    <t>trc_onPPTxDone</t>
  </si>
  <si>
    <t>.wifiextrairam.19</t>
  </si>
  <si>
    <t>hal_set_tx_pti</t>
  </si>
  <si>
    <t>.wifiextrairam.3</t>
  </si>
  <si>
    <t>mac_tx_set_pti</t>
  </si>
  <si>
    <t>hal_mac_txq_disable</t>
  </si>
  <si>
    <t>.wifiextrairam.7</t>
  </si>
  <si>
    <t>hal_get_tsf_time</t>
  </si>
  <si>
    <t>ppProcTxSecFrame</t>
  </si>
  <si>
    <t>esp_wifi::wifi::esp_wifi_tx_done_cb</t>
  </si>
  <si>
    <t>esp_wifi::common_adapter::semphr_take</t>
  </si>
  <si>
    <t>esp_wifi::common_adapter::semphr_give</t>
  </si>
  <si>
    <t>random</t>
  </si>
  <si>
    <t>interrupt1</t>
  </si>
  <si>
    <t>…</t>
  </si>
  <si>
    <t>interrupt15</t>
  </si>
  <si>
    <t>handle_interrupts</t>
  </si>
  <si>
    <t>esp_hal::interrupt::riscv::classic::PRIORITY_TO_INTERRUPT</t>
  </si>
  <si>
    <t>esp_hal::interrupt::riscv::classic::INTERRUPT_TO_PRIORITY</t>
  </si>
  <si>
    <t>__EXTERNAL_INTERRUPTS</t>
  </si>
  <si>
    <t>_start_trap:</t>
  </si>
  <si>
    <t>0x40380000</t>
  </si>
  <si>
    <t>0x40380024</t>
  </si>
  <si>
    <t>0x40380032</t>
  </si>
  <si>
    <t>0x403801c8</t>
  </si>
  <si>
    <t>0x403801de</t>
  </si>
  <si>
    <t>0x40380286</t>
  </si>
  <si>
    <t>0x40380300</t>
  </si>
  <si>
    <t>0x40380380</t>
  </si>
  <si>
    <t>0x40380392</t>
  </si>
  <si>
    <t>_start_trap1:</t>
  </si>
  <si>
    <t>_start_trap2:</t>
  </si>
  <si>
    <t>_start_trap31:</t>
  </si>
  <si>
    <t>_start_trap_direct:</t>
  </si>
  <si>
    <t>_vector_table:</t>
  </si>
  <si>
    <t>_start_trap_rust_hal:</t>
  </si>
  <si>
    <t>esp_wifi::wifi::DATA_QUEUE_RX_AP</t>
  </si>
  <si>
    <t>esp_wifi::wifi::DATA_QUEUE_RX_STA</t>
  </si>
  <si>
    <t>esp_wifi::preempt_builtin::timer::TIMER</t>
  </si>
  <si>
    <t>esp_wifi: g_wifi_feature_caps</t>
  </si>
  <si>
    <t>esp_wifi::wifi::internal::G_CONFIG</t>
  </si>
  <si>
    <t>esp_wifi::wifi::state::STA_STATE</t>
  </si>
  <si>
    <t>esp_wifi::wifi::state::AP_STATE</t>
  </si>
  <si>
    <t>WIFI_EVENT</t>
  </si>
  <si>
    <t>esp_hal_embassy::time_driver::DRIVER</t>
  </si>
  <si>
    <t>esp_hal::timer..systimer..Alarm as esp_hal_embassy::TimeBase::timers::STATIC_TIMER_CELL</t>
  </si>
  <si>
    <t>libnet80211.a(ieee80211_api.o):(.data.WIFI_MESH_EVENT)</t>
  </si>
  <si>
    <t>libnet80211.a(ieee80211_api.o):(.data.g_wifi_event_mask)</t>
  </si>
  <si>
    <t>libnet80211.a(ieee80211_api.o):(.data.s_wifi_init_state)</t>
  </si>
  <si>
    <t>libnet80211.a(ieee80211_action.o):(.data.ba_recv_action)</t>
  </si>
  <si>
    <t>libnet80211.a(ieee80211_action.o):(.data.ba_send_action)</t>
  </si>
  <si>
    <t>libnet80211.a(ieee80211_action.o):(.data.ht_recv_action)</t>
  </si>
  <si>
    <t>libnet80211.a(ieee80211_action.o):(.data.ht_send_action)</t>
  </si>
  <si>
    <t>libnet80211.a(ieee80211_action.o):(.data.public_recv_action)</t>
  </si>
  <si>
    <t>libnet80211.a(ieee80211_action.o):(.data.public_send_action)</t>
  </si>
  <si>
    <t>libnet80211.a(ieee80211_action.o):(.data.sa_query_recv_action)</t>
  </si>
  <si>
    <t>libnet80211.a(ieee80211_action.o):(.data.sa_query_send_action)</t>
  </si>
  <si>
    <t>libnet80211.a(ieee80211_action.o):(.data.vendor_recv_action)</t>
  </si>
  <si>
    <t>libnet80211.a(ieee80211_action.o):(.data.vendor_send_action)</t>
  </si>
  <si>
    <t>libnet80211.a(ieee80211_hostap.o):(.data.TmpSTAAPCloseAP)</t>
  </si>
  <si>
    <t>libnet80211.a(ieee80211_crypto_ccmp.o):(.data.ccmp)</t>
  </si>
  <si>
    <t>libnet80211.a(ieee80211_ht.o):(.data.g_phy_cap_rx_stbc)</t>
  </si>
  <si>
    <t>libnet80211.a(ieee80211_mesh_quick.o):(.data.g_mesh_self_organized)</t>
  </si>
  <si>
    <t>libnet80211.a(ieee80211_nvs.o):(.data.g_wifi_nvs)</t>
  </si>
  <si>
    <t>libnet80211.a(ieee80211_output.o):(.data.s_raw_seq.14265)</t>
  </si>
  <si>
    <t>libnet80211.a(ieee80211_phy.o):(.data.ieee80211_11a_table)</t>
  </si>
  <si>
    <t>libnet80211.a(ieee80211_reg_db.o):(.data.country_info_24ghz)</t>
  </si>
  <si>
    <t>libnet80211.a(ieee80211_scan.o):(.data.g_scan_chan_list)</t>
  </si>
  <si>
    <t>libnet80211.a(ieee80211_sta.o):(.data.g_dynamic_cs)</t>
  </si>
  <si>
    <t>libnet80211.a(ieee80211_sta.o):(.data.send_deauth)</t>
  </si>
  <si>
    <t>libnet80211.a(ieee80211_supplicant.o):(.data.s_ap_igtk_active_idx)</t>
  </si>
  <si>
    <t>libnet80211.a(ieee80211_supplicant.o):(.data.s_sta_igtk_active_idx)</t>
  </si>
  <si>
    <t>libnet80211.a(ieee80211_crypto_tkip.o):(.data.tkip)</t>
  </si>
  <si>
    <t>libnet80211.a(ieee80211_crypto_gcmp.o):(.data.gcmp)</t>
  </si>
  <si>
    <t>libnet80211.a(ieee80211_crypto_wep.o):(.data.wep)</t>
  </si>
  <si>
    <t>libnet80211.a(ieee80211_crypto_sms4.o):(.data.sms4)</t>
  </si>
  <si>
    <t>libnet80211.a(ieee80211_timer.o):(.data.g_timer_info)</t>
  </si>
  <si>
    <t>libnet80211.a(wl_cnx.o):(.data.join_deny_flag)</t>
  </si>
  <si>
    <t>libphy.a(phy_init.o):(.data.phy_param)</t>
  </si>
  <si>
    <t>libphy.a(phy_analog_cal.o):(.data.wifi_ht20)</t>
  </si>
  <si>
    <t>libphy.a(phy_analog_cal.o):(.data.wifi_ht40)</t>
  </si>
  <si>
    <t>libpp.a(esf_buf.o):(.data.g_eb_list_desc)</t>
  </si>
  <si>
    <t>libpp.a(lmac.o):(.data.g_txop_queue_status)</t>
  </si>
  <si>
    <t>libpp.a(lmac.o):(.data.lmacConfMib)</t>
  </si>
  <si>
    <t>libpp.a(pm.o):(.data.g_pm_cfg)</t>
  </si>
  <si>
    <t>libpp.a(pp.o):(.data.TxRxCxt)</t>
  </si>
  <si>
    <t>libpp.a(pp_timer.o):(.data.g_pp_timer_info)</t>
  </si>
  <si>
    <t>libpp.a(trc.o):(.data.BasicOFDMSched)</t>
  </si>
  <si>
    <t>libpp.a(trc.o):(.data.rc11BSchedTbl)</t>
  </si>
  <si>
    <t>libpp.a(trc.o):(.data.rc11GSchedTbl)</t>
  </si>
  <si>
    <t>libpp.a(trc.o):(.data.rc11NSchedTbl)</t>
  </si>
  <si>
    <t>libpp.a(trc.o):(.data.rcLoRaSchedTbl)</t>
  </si>
  <si>
    <t>libpp.a(trc.o):(.data.rcP2P11GSchedTbl)</t>
  </si>
  <si>
    <t>libpp.a(trc.o):(.data.rcP2P11NSchedTbl)</t>
  </si>
  <si>
    <t>libpp.a(trc.o):(.data.trc_ctl)</t>
  </si>
  <si>
    <t>libpp.a(wdev.o):(.data.BcnInterval)</t>
  </si>
  <si>
    <t>libpp.a(wdev.o):(.data.wDevCtrl)</t>
  </si>
  <si>
    <t>libnet80211.a(ieee80211_mesh_quick.o):(.dram1.2) g_mesh_is_started</t>
  </si>
  <si>
    <t>libnet80211.a(ieee80211_mesh_quick.o):(.dram1.3) g_mesh_init_ps_type</t>
  </si>
  <si>
    <t>libnet80211.a(ieee80211_mesh_quick.o):(.dram1.4) g_mesh_is_root</t>
  </si>
  <si>
    <t>libnet80211.a(wl_cnx.o):(.dram1.2) g_sta_connected_flag</t>
  </si>
  <si>
    <t>libpp.a(esf_buf.o):(.dram1.3) eb_txdesc_space</t>
  </si>
  <si>
    <t>libpp.a(pp.o):(.dram1.3) pp_sig_cnt</t>
  </si>
  <si>
    <t>libpp.a(pp.o):(.dram1.4) bars</t>
  </si>
  <si>
    <t>libpp.a(pp_debug.o):(.dram1.3)</t>
  </si>
  <si>
    <t>libpp.a(wdev.o):(.dram1.3)</t>
  </si>
  <si>
    <t>libpp.a(wdev.o):(.dram1.42) s_record_list</t>
  </si>
  <si>
    <t>3FC885D8</t>
  </si>
  <si>
    <t>.trap</t>
  </si>
  <si>
    <t>.rwtext</t>
  </si>
  <si>
    <t>.rwtext_wifi</t>
  </si>
  <si>
    <t>.rwdata_dummy</t>
  </si>
  <si>
    <t>.data_wifi</t>
  </si>
  <si>
    <t>libwpa_supplicant.a(esp_wpa_main.c.obj):(.sbss.wpa_cb)</t>
  </si>
  <si>
    <t>libwpa_supplicant.a(esp_wpa_main.c.obj):(.sbss.wifi_funcs)</t>
  </si>
  <si>
    <t>libwpa_supplicant.a(esp_wpa_main.c.obj):(.sbss.g_wpa_pmk_caching_disabled)</t>
  </si>
  <si>
    <t>libwpa_supplicant.a(eloop.c.obj):(.sbss.eloop_data_lock)</t>
  </si>
  <si>
    <t>libwpa_supplicant.a(esp_eap_client.c.obj):(.sbss.gEapSm)</t>
  </si>
  <si>
    <t>libwpa_supplicant.a(wpa_auth.c.obj):(.sbss.s_sm_valid_bitmap)</t>
  </si>
  <si>
    <t>libwpa_supplicant.a(esp_wps.c.obj):(.sbss.s_wps_sm_cb)</t>
  </si>
  <si>
    <t>libwpa_supplicant.a(esp_hostap.c.obj):(.sbss.global_hapd)</t>
  </si>
  <si>
    <t>__rust_no_alloc_shim_is_unstable</t>
  </si>
  <si>
    <t>esp_wifi::common_adapter::chip_specific::SOC_PHY_DIG_REGS_MEM</t>
  </si>
  <si>
    <t>esp_wifi::preempt_builtin::SCHEDULER_STATE</t>
  </si>
  <si>
    <t>esp_wifi::common_adapter::chip_specific::G_PHY_DIGITAL_REGS_MEM</t>
  </si>
  <si>
    <t>esp_wifi::common_adapter::chip_specific::G_IS_PHY_CALIBRATED</t>
  </si>
  <si>
    <t>esp_wifi::common_adapter::chip_specific::PHY_ACCESS_REF</t>
  </si>
  <si>
    <t>esp_wifi::wifi::WIFI_TX_INFLIGHT</t>
  </si>
  <si>
    <t>esp_wifi::wifi::WifiEvent::waker::WAKER</t>
  </si>
  <si>
    <t>esp_wifi::wifi::embassy::TRANSMIT_WAKER</t>
  </si>
  <si>
    <t>esp_wifi::wifi::embassy::AP_RECEIVE_WAKER</t>
  </si>
  <si>
    <t>esp_wifi::wifi::embassy::STA_RECEIVE_WAKER</t>
  </si>
  <si>
    <t>esp_wifi::flags::WIFI</t>
  </si>
  <si>
    <t>esp_wifi::wifi::embassy::STA_LINK_STATE_WAKER</t>
  </si>
  <si>
    <t>esp_wifi::wifi::embassy::AP_LINK_STATE_WAKER</t>
  </si>
  <si>
    <t>esp_wifi..wifi..event..WifiReady</t>
  </si>
  <si>
    <t>esp_wifi..wifi..event..ScanDone</t>
  </si>
  <si>
    <t>esp_wifi..wifi..event..StaStart</t>
  </si>
  <si>
    <t>esp_wifi..wifi..event..StaStop</t>
  </si>
  <si>
    <t>esp_wifi..wifi..event..StaConnected</t>
  </si>
  <si>
    <t>esp_wifi..wifi..event..StaDisconnected</t>
  </si>
  <si>
    <t>esp_wifi..wifi..event..StaAuthmodeChange</t>
  </si>
  <si>
    <t>esp_wifi..wifi..event..StaWpsErSuccess</t>
  </si>
  <si>
    <t>esp_wifi..wifi..event..StaWpsErFailed</t>
  </si>
  <si>
    <t>esp_wifi..wifi..event..StaWpsErTimeout</t>
  </si>
  <si>
    <t>esp_wifi..wifi..event..StaWpsErPin</t>
  </si>
  <si>
    <t>esp_wifi..wifi..event..StaWpsErPbcOverlap</t>
  </si>
  <si>
    <t>esp_wifi..wifi..event..ApStart</t>
  </si>
  <si>
    <t>esp_wifi..wifi..event..ApStop</t>
  </si>
  <si>
    <t>esp_wifi::wifi::os_adapter::WIFI_LOCK</t>
  </si>
  <si>
    <t>esp_wifi::wifi::os_adapter::QUEUE_HANDLE</t>
  </si>
  <si>
    <t>esp_wifi::common_adapter::PHY_CLOCK_ENABLE_REF</t>
  </si>
  <si>
    <t>esp_wifi::wifi::os_adapter::WIFI_EVENTS</t>
  </si>
  <si>
    <t>esp_wifi::wifi::os_adapter::ISR_INTERRUPT_1</t>
  </si>
  <si>
    <t>esp_wifi::compat::timer_compat::TIMERS</t>
  </si>
  <si>
    <t>esp_alloc::HEAP</t>
  </si>
  <si>
    <t>esp_hal_embassy::SIGNAL_WORK_THREAD_MODE</t>
  </si>
  <si>
    <t>esp_hal::clock::ACTIVE_CLOCKS</t>
  </si>
  <si>
    <t>_ESP_HAL_DEVICE_PERIPHERALS</t>
  </si>
  <si>
    <t>console::jtag_serial::TIMED_OUT</t>
  </si>
  <si>
    <t>libnet80211.a(ieee80211_api.o):(.bss.s_net80211_data_init)</t>
  </si>
  <si>
    <t>libnet80211.a(ieee80211_api.o):(.bss.s_wifi_api_lock)</t>
  </si>
  <si>
    <t>libnet80211.a(ieee80211_api.o):(.bss.s_wifi_stop_in_progress)</t>
  </si>
  <si>
    <t>libcore.a(misc_nvs.o):(.bss.g_log_level)</t>
  </si>
  <si>
    <t>libcore.a(misc_nvs.o):(.bss.g_misc_nvs)</t>
  </si>
  <si>
    <t>libcore.a(misc_nvs.o):(.bss.g_misc_nvs_init)</t>
  </si>
  <si>
    <t>libnet80211.a(ieee80211.o):(.bss.g_ic)</t>
  </si>
  <si>
    <t>libnet80211.a(ieee80211_action_vendor.o):(.bss.avs_cb)</t>
  </si>
  <si>
    <t>libnet80211.a(ieee80211_action_vendor.o):(.bss.avs_rx_content)</t>
  </si>
  <si>
    <t>libnet80211.a(ieee80211_action_vendor.o):(.bss.get_key_cb)</t>
  </si>
  <si>
    <t>libnet80211.a(ieee80211_crypto.o):(.bss.wpa_crypto_funcs)</t>
  </si>
  <si>
    <t>libnet80211.a(ieee80211_debug.o):(.bss.g_hmac_cnt)</t>
  </si>
  <si>
    <t>libnet80211.a(ieee80211_ftm.o):(.bss.ftm_req_expiry_timer)</t>
  </si>
  <si>
    <t>libnet80211.a(ieee80211_ftm.o):(.bss.ftm_resp_ctx)</t>
  </si>
  <si>
    <t>libnet80211.a(ieee80211_ftm.o):(.bss.ftmr_timer)</t>
  </si>
  <si>
    <t>libnet80211.a(ieee80211_ftm.o):(.bss.g_ftm_report_data)</t>
  </si>
  <si>
    <t>libnet80211.a(ieee80211_ftm.o):(.bss.g_ftm_report_num_entries)</t>
  </si>
  <si>
    <t>libnet80211.a(ieee80211_ftm.o):(.bss.g_ftm_using_get_report_api)</t>
  </si>
  <si>
    <t>libnet80211.a(ieee80211_ftm.o):(.bss.g_t1_offset_psec)</t>
  </si>
  <si>
    <t>libnet80211.a(ieee80211_ftm.o):(.bss.s_ftm_initiator)</t>
  </si>
  <si>
    <t>libnet80211.a(ieee80211_hostap.o):(.bss.BcnIntvl)</t>
  </si>
  <si>
    <t>libnet80211.a(ieee80211_hostap.o):(.bss.ap_rxcb)</t>
  </si>
  <si>
    <t>libnet80211.a(ieee80211_hostap.o):(.bss.beacon_send_start_flag)</t>
  </si>
  <si>
    <t>libnet80211.a(ieee80211_hostap.o):(.bss.beacon_timer)</t>
  </si>
  <si>
    <t>libnet80211.a(ieee80211_hostap.o):(.bss.g_beacon_dtim_send_mc)</t>
  </si>
  <si>
    <t>libnet80211.a(ieee80211_hostap.o):(.bss.g_beacon_eb)</t>
  </si>
  <si>
    <t>libnet80211.a(ieee80211_hostap.o):(.bss.g_beacon_eb_allocated)</t>
  </si>
  <si>
    <t>libnet80211.a(ieee80211_hostap.o):(.bss.g_beacon_idx)</t>
  </si>
  <si>
    <t>libnet80211.a(ieee80211_hostap.o):(.bss.tim_offset)</t>
  </si>
  <si>
    <t>libnet80211.a(ieee80211_ht.o):(.bss.tokens.12260)</t>
  </si>
  <si>
    <t>libnet80211.a(ieee80211_ioctl.o):(.bss.ap_id.14684)</t>
  </si>
  <si>
    <t>libnet80211.a(ieee80211_ioctl.o):(.bss.g_mac_sleep_en)</t>
  </si>
  <si>
    <t>libnet80211.a(ieee80211_ioctl.o):(.bss.g_wifi_menuconfig)</t>
  </si>
  <si>
    <t>libnet80211.a(ieee80211_ioctl.o):(.bss.s_wifi_task_hdl)</t>
  </si>
  <si>
    <t>libnet80211.a(ieee80211_ioctl.o):(.bss.s_wpa2_start)</t>
  </si>
  <si>
    <t>libnet80211.a(ieee80211_ioctl.o):(.bss.s_wps_start)</t>
  </si>
  <si>
    <t>libmesh.a(mesh_parent.o):(.bss.s_sta_cnx_times)</t>
  </si>
  <si>
    <t>libnet80211.a(ieee80211_mesh_quick.o):(.bss.esp_mesh_quick_funcs)</t>
  </si>
  <si>
    <t>libnet80211.a(ieee80211_mesh_quick.o):(.bss.g_mesh_topology)</t>
  </si>
  <si>
    <t>libnet80211.a(ieee80211_nvs.o):(.bss.g_wifi_nvs_cfg)</t>
  </si>
  <si>
    <t>libnet80211.a(ieee80211_nvs.o):(.bss.s_wifi_nvs)</t>
  </si>
  <si>
    <t xml:space="preserve">libnet80211.a(ieee80211_output.o):(.bss.len_dh_ie) </t>
  </si>
  <si>
    <t>libnet80211.a(ieee80211_output.o):(.bss.s_netstack_ref)</t>
  </si>
  <si>
    <t>libnet80211.a(ieee80211_output.o):(.bss.s_tx_cacheq)</t>
  </si>
  <si>
    <t>libnet80211.a(ieee80211_proto.o):(.bss.g_wifi_improve_contention_ability)</t>
  </si>
  <si>
    <t>libnet80211.a(ieee80211_scan.o):(.bss.app_scan_params)</t>
  </si>
  <si>
    <t>libnet80211.a(ieee80211_scan.o):(.bss.connect_scan_flag)</t>
  </si>
  <si>
    <t xml:space="preserve">libnet80211.a(ieee80211_scan.o):(.bss.gScanStruct) </t>
  </si>
  <si>
    <t>libnet80211.a(ieee80211_scan.o):(.bss.s_ch.12738)</t>
  </si>
  <si>
    <t>libnet80211.a(ieee80211_scan.o):(.bss.s_owe_scan_flag)</t>
  </si>
  <si>
    <t>libnet80211.a(ieee80211_scan.o):(.bss.scannum)</t>
  </si>
  <si>
    <t>libnet80211.a(ieee80211_sta.o):(.bss.in_rssi_adjust)</t>
  </si>
  <si>
    <t>libnet80211.a(ieee80211_sta.o):(.bss.rssi_index)</t>
  </si>
  <si>
    <t>libnet80211.a(ieee80211_sta.o):(.bss.rssi_saved)</t>
  </si>
  <si>
    <t>libnet80211.a(ieee80211_sta.o):(.bss.s_eapol_txdone_cb)</t>
  </si>
  <si>
    <t>libnet80211.a(ieee80211_sta.o):(.bss.sta_csa_timer)</t>
  </si>
  <si>
    <t>libnet80211.a(ieee80211_supplicant.o):(.bss.s_ap_igtk)</t>
  </si>
  <si>
    <t>libnet80211.a(ieee80211_supplicant.o):(.bss.s_sta_igtk)</t>
  </si>
  <si>
    <t>libnet80211.a(wl_chm.o):(.bss.gChmCxt)</t>
  </si>
  <si>
    <t>libnet80211.a(wl_cnx.o):(.bss.ap_no_lr)</t>
  </si>
  <si>
    <t>libnet80211.a(wl_cnx.o):(.bss.cnx_csa_timer)</t>
  </si>
  <si>
    <t>libnet80211.a(wl_cnx.o):(.bss.g_authmode_incompatible)</t>
  </si>
  <si>
    <t>libnet80211.a(wl_cnx.o):(.bss.g_authmode_threshold_failure)</t>
  </si>
  <si>
    <t>libnet80211.a(wl_cnx.o):(.bss.g_cnxMgr)</t>
  </si>
  <si>
    <t>libnet80211.a(wl_cnx.o):(.bss.g_cnx_probe_rc_list_cb)</t>
  </si>
  <si>
    <t>libnet80211.a(wl_cnx.o):(.bss.g_in_blacklist_flag)</t>
  </si>
  <si>
    <t>libnet80211.a(wl_cnx.o):(.bss.g_rssi_threshold_failure)</t>
  </si>
  <si>
    <t>libnet80211.a(wl_cnx.o):(.bss.is_connected_sync)</t>
  </si>
  <si>
    <t>libnet80211.a(wl_cnx.o):(.bss.reconnect_flag)</t>
  </si>
  <si>
    <t>libnet80211.a(wl_cnx.o):(.bss.s_csa_timer_bss)</t>
  </si>
  <si>
    <t>libnet80211.a(wl_cnx.o):(.bss.s_sta_last_start_txseq)</t>
  </si>
  <si>
    <t>libnet80211.a(wl_cnx.o):(.bss.sta_con_timer)</t>
  </si>
  <si>
    <t>libnet80211.a(wl_offchan.o):(.bss.ctx)</t>
  </si>
  <si>
    <t>libphy.a(phy_debug.o):(.bss.phy_version_str)</t>
  </si>
  <si>
    <t>libphy.a(phy_init.o):(.bss.chip7_phy_init_ctrl)</t>
  </si>
  <si>
    <t>libphy.a(phy_init.o):(.bss.g_phyFuns)</t>
  </si>
  <si>
    <t>libphy.a(phy_init.o):(.bss.new_rom.4589)</t>
  </si>
  <si>
    <t>libphy.a(phy_rom.o):(.bss.phy_param_rom)</t>
  </si>
  <si>
    <t>libpp.a(esf_buf.o):(.bss.eb_space)</t>
  </si>
  <si>
    <t>libpp.a(if_hwctrl.o):(.bss.if_ctrl)</t>
  </si>
  <si>
    <t>libpp.a(if_hwctrl.o):(.bss.s_is_6m)</t>
  </si>
  <si>
    <t>libpp.a(pm.o):(.bss.beacon_monitor_data.11921)</t>
  </si>
  <si>
    <t>libpp.a(pm.o):(.bss.beacon_monitor_tbtt_time.11901)</t>
  </si>
  <si>
    <t>libpp.a(pm.o):(.bss.g_pm)</t>
  </si>
  <si>
    <t>libpp.a(pm.o):(.bss.g_pm_tx_null_func)</t>
  </si>
  <si>
    <t>libpp.a(pp.o):(.bss.s_fragment)</t>
  </si>
  <si>
    <t>libpp.a(pp_debug.o):(.bss.g_lmac_cnt)</t>
  </si>
  <si>
    <t>libpp.a(pp_debug.o):(.bss.g_pm_cnt)</t>
  </si>
  <si>
    <t>libpp.a(pp_timer.o):(.bss.s_timer_post)</t>
  </si>
  <si>
    <t>libpp.a(trc.o):(.bss.s_fix_rate)</t>
  </si>
  <si>
    <t>libpp.a(trc.o):(.bss.s_fix_rate_mask)</t>
  </si>
  <si>
    <t>libpp.a(wdev.o):(.bss.BcnSendTick)</t>
  </si>
  <si>
    <t>libpp.a(wdev.o):(.bss.g_wdev_csi_rx)</t>
  </si>
  <si>
    <t>libpp.a(wdev.o):(.bss.g_wdev_csi_rx_ctx)</t>
  </si>
  <si>
    <t>libpp.a(wdev.o):(.bss.g_wdev_record_t1t4_cb)</t>
  </si>
  <si>
    <t>libpp.a(wdev.o):(.bss.g_wdev_record_t2t3_cb)</t>
  </si>
  <si>
    <t>libpp.a(wdev.o):(.bss.g_wdev_set_t1t4_cb)</t>
  </si>
  <si>
    <t>libpp.a(wdev.o):(.bss.wDevMacSleep)</t>
  </si>
  <si>
    <t>libpp.a(hal_tsf.o):(.bss.s_tbttstart)</t>
  </si>
  <si>
    <t>libwpa_supplicant.a(wpa.c.obj):(.bss.assoc_ie_buf)</t>
  </si>
  <si>
    <t>libwpa_supplicant.a(wpa.c.obj):(.bss.gWpaSm)</t>
  </si>
  <si>
    <t>libwpa_supplicant.a(eloop.c.obj):(.bss.eloop)</t>
  </si>
  <si>
    <t>libwpa_supplicant.a(wpa_auth.c.obj):(.bss.s_sm_table)</t>
  </si>
  <si>
    <t>libwpa_supplicant.a(esp_common.c.obj):(.bss.g_wpa_supp)</t>
  </si>
  <si>
    <t>.Lanon</t>
  </si>
  <si>
    <t>embassy_executor::raw::TaskStorage::poll</t>
  </si>
  <si>
    <t>anon</t>
  </si>
  <si>
    <t>&lt;internal&gt;:(.rodata.cst32)</t>
  </si>
  <si>
    <t>esp_wifi::wifi impl num_traits::cast::FromPrimitive for esp_wifi::wifi::InternalWifiError::from</t>
  </si>
  <si>
    <t xml:space="preserve">esp_wifi::wifi::event::dispatch_event_handler </t>
  </si>
  <si>
    <t>g_wifi_osi_funcs</t>
  </si>
  <si>
    <t xml:space="preserve">esp_wifi::common_adapter::phy_init_data::PHY_INIT_DATA_DEFAULT </t>
  </si>
  <si>
    <t>&lt;internal&gt;:(.rodata.str1.1)</t>
  </si>
  <si>
    <t>embassy_executor::raw::waker::VTABLE</t>
  </si>
  <si>
    <t>.Lswitch.table.esp_hal::rtc_cntl::reset_reason</t>
  </si>
  <si>
    <t>portable_atomic::AtomicBool::load</t>
  </si>
  <si>
    <t>portable_atomic::AtomicUsize::load</t>
  </si>
  <si>
    <t>portable_atomic::AtomicUsize::store</t>
  </si>
  <si>
    <t>&lt;internal&gt;:(.rodata.esp_wifi_init_internal.str1.4)</t>
  </si>
  <si>
    <t>libnet80211.a(ieee80211.o):(.rodata.ieee80211_ethbroadcast)</t>
  </si>
  <si>
    <t>libnet80211.a(ieee80211_nvs.o):(.rodata.wifi_nvs_set)</t>
  </si>
  <si>
    <t>libnet80211.a(ieee80211_nvs.o):(.rodata.wifi_nvs_compare_cfg_diff)</t>
  </si>
  <si>
    <t>libnet80211.a(ieee80211_nvs.o):(.rodata.wifi_nvs_load)</t>
  </si>
  <si>
    <t>libnet80211.a(ieee80211_output.o):(.rodata.info.14002)</t>
  </si>
  <si>
    <t>libnet80211.a(ieee80211_output.o):(.rodata.param.14008)</t>
  </si>
  <si>
    <t>libnet80211.a(ieee80211_output.o):(.rodata.s_ac_param.14007)</t>
  </si>
  <si>
    <t>libnet80211.a(ieee80211_phy.o):(.rodata.ieee80211_11b_table)</t>
  </si>
  <si>
    <t>libnet80211.a(ieee80211_phy.o):(.rodata.ieee80211_11g_table)</t>
  </si>
  <si>
    <t>libnet80211.a(ieee80211_reg_db.o):(.rodata.ieee80211_is_40mhz_valid_bw)</t>
  </si>
  <si>
    <t>libnet80211.a(ieee80211_sta.o):(.rodata.ieee80211_sta_new_state)</t>
  </si>
  <si>
    <t>libnet80211.a(ieee80211_sta.o):(.rodata.state_desc.13045)</t>
  </si>
  <si>
    <t>libnet80211.a(ieee80211_supplicant.o):(.rodata.wifi_set_rx_policy)</t>
  </si>
  <si>
    <t>libphy.a(phy_hw_freq.o):(.rodata.freq_i2c_write_set)</t>
  </si>
  <si>
    <t>libphy.a(phy_hw_freq.o):(.rodata.freq_get_i2c_data)</t>
  </si>
  <si>
    <t>&lt;internal&gt;:(.rodata.rc_cal.cst8)</t>
  </si>
  <si>
    <t>libphy.a(phy_pbus.o):(.rodata.set_pbus_mem)</t>
  </si>
  <si>
    <t>libphy.a(phy_rx_cal.o):(.rodata.dco_gain_coarse.4656)</t>
  </si>
  <si>
    <t>libphy.a(phy_rx_gain.o):(.rodata)</t>
  </si>
  <si>
    <t>libpp.a(trc.o):(.rodata.rcUpdatePhyMode)</t>
  </si>
  <si>
    <t>libwpa_supplicant.a(crypto_ops.c.obj):(.rodata.g_wifi_default_wpa_crypto_funcs)</t>
  </si>
  <si>
    <t>libwpa_supplicant.a(aes-internal.c.obj):(.rodata.rcons)</t>
  </si>
  <si>
    <t>libwpa_supplicant.a(aes-internal.c.obj):(.rodata.Td4s)</t>
  </si>
  <si>
    <t>libwpa_supplicant.a(aes-internal.c.obj):(.rodata.Td0)</t>
  </si>
  <si>
    <t>libwpa_supplicant.a(aes-internal.c.obj):(.rodata.Te0)</t>
  </si>
  <si>
    <t>libwpa_supplicant.a(sha256-internal.c.obj):(.rodata.K)</t>
  </si>
  <si>
    <t>libprintf.a(printf.c.obj):(.rodata.pow10.0)</t>
  </si>
  <si>
    <t>libwpa_supplicant.a(sha256-prf.c.obj):(.srodata.memset_func)</t>
  </si>
  <si>
    <t xml:space="preserve">libwpa_supplicant.a(sha1-prf.c.obj):(.srodata.memset_func) </t>
  </si>
  <si>
    <t>libwpa_supplicant.a(common.c.obj):(.srodata.memset_func)</t>
  </si>
  <si>
    <t>libwpa_supplicant.a(esp_hostap.c.obj):(.srodata.memset_func)</t>
  </si>
  <si>
    <t xml:space="preserve">libwpa_supplicant.a(sha1-internal.c.obj):(.srodata.memset_func) </t>
  </si>
  <si>
    <t>libwpa_supplicant.a(sha1.c.obj):(.srodata.memset_func)</t>
  </si>
  <si>
    <t>.rotext_dummy</t>
  </si>
  <si>
    <t>0x10000</t>
  </si>
  <si>
    <t>.esp-embassy</t>
  </si>
  <si>
    <t>.port-atomic</t>
  </si>
  <si>
    <t>.esp-riscv-rt</t>
  </si>
  <si>
    <t>.console</t>
  </si>
  <si>
    <t>.esp-hal</t>
  </si>
  <si>
    <t>.embassy</t>
  </si>
  <si>
    <t>.esp-alloc</t>
  </si>
  <si>
    <t>.esp-wifi</t>
  </si>
  <si>
    <t>.libcore</t>
  </si>
  <si>
    <t>.libprintf</t>
  </si>
  <si>
    <t>.libphy</t>
  </si>
  <si>
    <t>.libnet80211</t>
  </si>
  <si>
    <t>.smoltcp</t>
  </si>
  <si>
    <t>.core</t>
  </si>
  <si>
    <t>.text</t>
  </si>
  <si>
    <t>0x42010020</t>
  </si>
  <si>
    <t>_start</t>
  </si>
  <si>
    <t>0x42010028</t>
  </si>
  <si>
    <t xml:space="preserve">_abs_start </t>
  </si>
  <si>
    <t>0x420100b8</t>
  </si>
  <si>
    <t xml:space="preserve">_start_rust </t>
  </si>
  <si>
    <t>0x420100e6</t>
  </si>
  <si>
    <t>abort</t>
  </si>
  <si>
    <t>0x420000ea</t>
  </si>
  <si>
    <t>DefaultExceptionHandler</t>
  </si>
  <si>
    <t>0x420000f0</t>
  </si>
  <si>
    <t xml:space="preserve">default_post_init </t>
  </si>
  <si>
    <t>.esp_riscv_rt</t>
  </si>
  <si>
    <t>0x420100f4</t>
  </si>
  <si>
    <t>console::jtag_serial::print</t>
  </si>
  <si>
    <t>0x420101b2</t>
  </si>
  <si>
    <t>console::jtag_serial::Printer as core::fmt::Write::write_str</t>
  </si>
  <si>
    <t>_setup_interrupts</t>
  </si>
  <si>
    <t>esp_hal::interrupt::riscv::vectored::enable</t>
  </si>
  <si>
    <t>hal_main</t>
  </si>
  <si>
    <t>esp_hal::init</t>
  </si>
  <si>
    <t>EspDefaultHandler</t>
  </si>
  <si>
    <t>_critical_section_1_0_acquire</t>
  </si>
  <si>
    <t>_critical_section_1_0_release</t>
  </si>
  <si>
    <t>esp_hal::clock::clocks_ll::enable_phy</t>
  </si>
  <si>
    <t>esp_hal::clock::clocks_ll::reset_mac</t>
  </si>
  <si>
    <t>esp_hal::clock::clocks_ll::init_clocks</t>
  </si>
  <si>
    <t>esp_hal::clock::Clocks::get</t>
  </si>
  <si>
    <t>esp_hal::timer::systimer::Alarm  in impl esp_hal_embassy::TimeBase::timers</t>
  </si>
  <si>
    <t>esp_hal::timer::systimer::SystemTimer::new</t>
  </si>
  <si>
    <t>esp_hal::timer::systimer::SystemTimer1::unit_value</t>
  </si>
  <si>
    <t>esp_hal::timer::OneShotTimer::schedule</t>
  </si>
  <si>
    <t>esp_hal::timer::OneShotTimer::stop</t>
  </si>
  <si>
    <t>esp_hal::timer::PeriodicTimer::set_interrupt_handler</t>
  </si>
  <si>
    <t>esp_hal::timer::OneShotTimer::set_interrupt_handler</t>
  </si>
  <si>
    <t>esp_hal::timer::PeriodicTime::::enable_interrupt</t>
  </si>
  <si>
    <t>esp_hal::timer::OneShotTimer::enable_interrupt</t>
  </si>
  <si>
    <t>esp_hal::timer::PeriodicTime::clear_interrupt</t>
  </si>
  <si>
    <t>esp_hal::timer::OneShotTimer::clear_interrupt</t>
  </si>
  <si>
    <t>esp_hal::timer::PeriodicTimer::start</t>
  </si>
  <si>
    <t>esp_hal::soc::implementation::peripherals::TIMG0 as</t>
  </si>
  <si>
    <t xml:space="preserve">        esp_hal::timer::timg::TimerGroupInstance::configure_src_clk</t>
  </si>
  <si>
    <t xml:space="preserve">        esp_hal::timer::timg::TimerGroupInstance::enable_peripheral</t>
  </si>
  <si>
    <t xml:space="preserve">        esp_hal::timer::timg::TimerGroupInstance::configure_wdt_src_clk</t>
  </si>
  <si>
    <t>esp_hal::sync2::GenericRawMutex::lock</t>
  </si>
  <si>
    <t>esp_hal::sync::single_core::InterruptLock as</t>
  </si>
  <si>
    <t xml:space="preserve">        esp_hal::sync::single_core::RawLock::enter</t>
  </si>
  <si>
    <t xml:space="preserve">        esp_hal::sync::single_core::RawLock::exit</t>
  </si>
  <si>
    <t xml:space="preserve">esp_hal::sync::RawMutex::acquire </t>
  </si>
  <si>
    <t>esp_hal::sync::RawMutex::release</t>
  </si>
  <si>
    <t>esp_hal::soc impl esp_hal::soc::implementation::efuse::Efuse::mac_address</t>
  </si>
  <si>
    <t>embassy_executor::raw::poll_exited</t>
  </si>
  <si>
    <t>// these are the two tasks (put into .main)</t>
  </si>
  <si>
    <t>//embassy_executor::raw::TaskStorage::poll</t>
  </si>
  <si>
    <t>embassy_executor::raw::util::UninitCell::write_in_place</t>
  </si>
  <si>
    <t>embassy_executor::raw::waker::clone</t>
  </si>
  <si>
    <t>embassy_executor::raw::waker::wake</t>
  </si>
  <si>
    <t>embassy_executor::raw::waker::drop</t>
  </si>
  <si>
    <t xml:space="preserve">embassy_executor::raw::waker::task_from_waker </t>
  </si>
  <si>
    <t>embassy_executor::raw::Executor::poll</t>
  </si>
  <si>
    <t>embassy_executor::raw::wake_task</t>
  </si>
  <si>
    <t>embassy_executor::spawner::Spawner::spawn</t>
  </si>
  <si>
    <t>embassy_executor::spawner::Spawner::must_spawn</t>
  </si>
  <si>
    <t>__pender</t>
  </si>
  <si>
    <t>_embassy_time_now</t>
  </si>
  <si>
    <t>_embassy_time_schedule_wake</t>
  </si>
  <si>
    <t>embassy_time::timer::Timer::after</t>
  </si>
  <si>
    <t>embassy_time::timer::Timer as core::future::future::Future::poll</t>
  </si>
  <si>
    <t>embassy_net::Inner::set_config</t>
  </si>
  <si>
    <t>embassy_net::Inner::apply_static_config</t>
  </si>
  <si>
    <t>embassy_net::new</t>
  </si>
  <si>
    <t>embassy_sync::waitqueue::waker_registration::WakerRegistration::wake</t>
  </si>
  <si>
    <t>.esp_embassy</t>
  </si>
  <si>
    <t>esp_hal_embassy::Executor::run</t>
  </si>
  <si>
    <t>esp_hal_embassy::Executor::wait_impl</t>
  </si>
  <si>
    <t>esp_hal_embassy::time_driver::EmbassyTimer::init</t>
  </si>
  <si>
    <t xml:space="preserve">esp_hal_embassy::time_driver::DRIVER::handler </t>
  </si>
  <si>
    <t xml:space="preserve">esp_hal_embassy::timer_queue::TimerQueue::dispatch </t>
  </si>
  <si>
    <t>esp_hal::rtc_cntl::reset_reason</t>
  </si>
  <si>
    <t>.esp_alloc</t>
  </si>
  <si>
    <t xml:space="preserve">esp_alloc::EspHeap::init </t>
  </si>
  <si>
    <t>esp_alloc::EspHeap as core::alloc::global::GlobalAlloc::alloc</t>
  </si>
  <si>
    <t>esp_alloc::EspHeap as core::alloc::global::GlobalAlloc::dealloc</t>
  </si>
  <si>
    <t>linked_list_allocator::hole::HoleList::allocate_first_fit</t>
  </si>
  <si>
    <t>linked_list_allocator::hole::HoleList::deallocate</t>
  </si>
  <si>
    <t>linked_list_allocator::Heap::init</t>
  </si>
  <si>
    <t>linked_list_allocator::Heap::allocate_first_fit</t>
  </si>
  <si>
    <t>linked_list_allocator::Heap::deallocate</t>
  </si>
  <si>
    <t>allocator_api::raw_vec::capacity_overflow</t>
  </si>
  <si>
    <t>allocator_api::vec::Vec::swap_remove::assert_failed</t>
  </si>
  <si>
    <t>alloc::alloc::handle_alloc_error</t>
  </si>
  <si>
    <t>alloc::raw_vec::finish_grow</t>
  </si>
  <si>
    <t>alloc::raw_vec::RawVec::grow_one</t>
  </si>
  <si>
    <t>alloc::raw_vec::handle_error</t>
  </si>
  <si>
    <t>alloc::collections::vec_deque::VecDeque::grow</t>
  </si>
  <si>
    <t>___rustc12___rust_alloc</t>
  </si>
  <si>
    <t>___rustc14___rust_dealloc</t>
  </si>
  <si>
    <t>___rustc14___rust_realloc</t>
  </si>
  <si>
    <t>___rustc19___rust_alloc_zeroed</t>
  </si>
  <si>
    <t>.port_atomic</t>
  </si>
  <si>
    <t>portable_atomic::AtomicU32::load</t>
  </si>
  <si>
    <t>portable_atomic::AtomicU32::store</t>
  </si>
  <si>
    <t>esp_wifi::init_clocks</t>
  </si>
  <si>
    <t>esp_wifi::common_adapter::semphr_create</t>
  </si>
  <si>
    <t>esp_wifi::common_adapter::semphr_delete</t>
  </si>
  <si>
    <t>esp_wifi::wifi::os_adapter:spin_lock_delete</t>
  </si>
  <si>
    <t>esp_wifi::wifi::os_adapter::mutex_delete</t>
  </si>
  <si>
    <t>esp_wifi::common_adapter::read_mac</t>
  </si>
  <si>
    <t>esp_wifi::common_adapter::chip_specific::enable_wifi_power_domain</t>
  </si>
  <si>
    <t>puts</t>
  </si>
  <si>
    <t>ets_timer_disarm</t>
  </si>
  <si>
    <t>ets_timer_setfn</t>
  </si>
  <si>
    <t>strnlen</t>
  </si>
  <si>
    <t>esp_wifi::compat::common::sem_take</t>
  </si>
  <si>
    <t>esp_wifi::compat::common::receive_queued</t>
  </si>
  <si>
    <t>strrchr</t>
  </si>
  <si>
    <t>sleep</t>
  </si>
  <si>
    <t>__assert_func</t>
  </si>
  <si>
    <t>usleep</t>
  </si>
  <si>
    <t>ets_timer_done</t>
  </si>
  <si>
    <t>ets_timer_arm</t>
  </si>
  <si>
    <t>ets_timer_arm_us</t>
  </si>
  <si>
    <t>gettimeofday</t>
  </si>
  <si>
    <t>esp_fill_random</t>
  </si>
  <si>
    <t>esp_wifi::compat::timer_compat::TimerQueue::remove</t>
  </si>
  <si>
    <t>esp_wifi::preempt::enable</t>
  </si>
  <si>
    <t>esp_wifi::preempt_builtin::timer::arch_specific::yield_task</t>
  </si>
  <si>
    <t>esp_wifi::preempt::yield_task</t>
  </si>
  <si>
    <t>esp_wifi::preempt_builtin::timer::arch_specific::setup_timer</t>
  </si>
  <si>
    <t>FROM_CPU_INTR2</t>
  </si>
  <si>
    <t>esp_wifi::preempt_builtin::BuiltinScheduler as</t>
  </si>
  <si>
    <t xml:space="preserve">        esp_wifi::preempt::Scheduler::task_create</t>
  </si>
  <si>
    <t>esp_wifi::tasks::init_tasks</t>
  </si>
  <si>
    <t>esp_wifi::tasks::timer_task</t>
  </si>
  <si>
    <t>esp_wifi::wifi::new</t>
  </si>
  <si>
    <t>esp_wifi::wifi::os_adapter::spin_lock_create</t>
  </si>
  <si>
    <t xml:space="preserve">esp_wifi::wifi::os_adapter::wifi_int_disable </t>
  </si>
  <si>
    <t>esp_wifi::wifi::os_adapter::wifi_int_restore</t>
  </si>
  <si>
    <t>esp_wifi::wifi::os_adapter::wifi_thread_semphr_get</t>
  </si>
  <si>
    <t>esp_wifi::wifi::os_adapter::recursive_mutex_create</t>
  </si>
  <si>
    <t>esp_wifi::wifi::os_adapter::mutex_lock</t>
  </si>
  <si>
    <t>esp_wifi::wifi::os_adapter::mutex_unlock</t>
  </si>
  <si>
    <t>esp_wifi::wifi::os_adapter::queue_send</t>
  </si>
  <si>
    <t>esp_wifi::wifi::os_adapter::queue_send_from_isr</t>
  </si>
  <si>
    <t>esp_wifi::wifi::os_adapter::queue_recv</t>
  </si>
  <si>
    <t>esp_wifi::wifi::os_adapter::task_create_pinned_to_core</t>
  </si>
  <si>
    <t>esp_wifi::wifi::os_adapter::task_delay</t>
  </si>
  <si>
    <t>esp_wifi::wifi::os_adapter::task_ms_to_tick</t>
  </si>
  <si>
    <t>esp_wifi::wifi::os_adapter::task_get_current_task</t>
  </si>
  <si>
    <t>esp_wifi::wifi::os_adapter::task_get_max_priority</t>
  </si>
  <si>
    <t>esp_wifi::wifi::os_adapter::log_timestamp</t>
  </si>
  <si>
    <t>esp_wifi_allocate_from_internal_ram</t>
  </si>
  <si>
    <t>malloc</t>
  </si>
  <si>
    <t>esp_wifi::wifi::os_adapter::malloc</t>
  </si>
  <si>
    <t>esp_wifi::wifi::os_adapter::malloc_internal</t>
  </si>
  <si>
    <t>esp_wifi::wifi::os_adapter::wifi_malloc</t>
  </si>
  <si>
    <t>calloc</t>
  </si>
  <si>
    <t>esp_wifi::wifi::os_adapter::calloc_internal</t>
  </si>
  <si>
    <t>esp_wifi::wifi::os_adapter::wifi_calloc</t>
  </si>
  <si>
    <t>esp_wifi::wifi::os_adapter::zalloc_internal</t>
  </si>
  <si>
    <t>esp_wifi::wifi::os_adapter::wifi_create_queue</t>
  </si>
  <si>
    <t>esp_wifi::wifi::os_adapter::wifi_delete_queue</t>
  </si>
  <si>
    <t>esp_wifi::wifi::os_adapter::coex_register_start_cb</t>
  </si>
  <si>
    <t>free</t>
  </si>
  <si>
    <t>esp_wifi::wifi::os_adapter::free</t>
  </si>
  <si>
    <t>esp_timer_get_time</t>
  </si>
  <si>
    <t>esp_wifi::wifi::os_adapter::os_adapter_chip_specific::set_isr</t>
  </si>
  <si>
    <t>esp_wifi::wifi::os_adapter::env_is_chip</t>
  </si>
  <si>
    <t>esp_wifi::wifi::os_adapter::set_intr</t>
  </si>
  <si>
    <t>esp_wifi::wifi::os_adapter::phy_update_country_info</t>
  </si>
  <si>
    <t>esp_wifi::wifi::os_adapter::wifi_clock_enable</t>
  </si>
  <si>
    <t>esp_wifi::wifi::os_adapter::coex_enable</t>
  </si>
  <si>
    <t>esp_wifi::wifi::os_adapter::coex_wifi_request</t>
  </si>
  <si>
    <t>esp_wifi::wifi::os_adapter::coex_wifi_release</t>
  </si>
  <si>
    <t>esp_wifi::wifi::os_adapter::coex_wifi_channel_set</t>
  </si>
  <si>
    <t>esp_wifi::wifi::os_adapter1::coex_pti_get</t>
  </si>
  <si>
    <t>esp_wifi::wifi::os_adapter::coex_schm_status_bit_set</t>
  </si>
  <si>
    <t>esp_wifi::wifi::os_adapter::coex_schm_curr_period_get</t>
  </si>
  <si>
    <t>esp_wifi::wifi::os_adapter::coex_schm_flexible_period_set</t>
  </si>
  <si>
    <t>esp_wifi::wifi::os_adapter::slowclk_cal_get</t>
  </si>
  <si>
    <t>esp_wifi::wifi::os_adapter::ints_on</t>
  </si>
  <si>
    <t>esp_wifi::wifi::os_adapter::task_yield_from_isr</t>
  </si>
  <si>
    <t>esp_wifi::wifi::os_adapter::event_post</t>
  </si>
  <si>
    <t>esp_wifi::wifi::os_adapter::phy_enable</t>
  </si>
  <si>
    <t>esp_wifi::wifi::os_adapter::wifi_reset_mac</t>
  </si>
  <si>
    <t>esp_wifi::wifi::os_adapter::get_random</t>
  </si>
  <si>
    <t>esp_wifi::wifi::wifi_start</t>
  </si>
  <si>
    <t>esp_wifi::wifi::recv_cb_sta</t>
  </si>
  <si>
    <t>esp_wifi::wifi::recv_cb_ap</t>
  </si>
  <si>
    <t>esp_wifi::wifi::apply_ap_config</t>
  </si>
  <si>
    <t>esp_wifi::wifi::apply_sta_config</t>
  </si>
  <si>
    <t>esp_wifi::wifi::WifiController::set_configuration</t>
  </si>
  <si>
    <t>esp_wifi::wifi1::WifiController::mode</t>
  </si>
  <si>
    <t>esp_wifi::wifi::MultiWifiEventFuture as core::future::future::Future::poll</t>
  </si>
  <si>
    <t>esp_wifi::wifi::embassy impl embassy_net_driver::Driver for</t>
  </si>
  <si>
    <t xml:space="preserve">    esp_wifi::wifi::WifiDevice::hardware_address</t>
  </si>
  <si>
    <t xml:space="preserve">    esp_wifi::wifi::InternalWifiError::from_i64</t>
  </si>
  <si>
    <t>esp_wifi::wifi::AccessPointConfiguration as core::default::Default::default</t>
  </si>
  <si>
    <t>esp_wifi::wifi::WifiMode::current</t>
  </si>
  <si>
    <t>esp_wifi::wifi::event::dispatch_event_handler</t>
  </si>
  <si>
    <t>WIFI_MAC</t>
  </si>
  <si>
    <t>WIFI_PWR</t>
  </si>
  <si>
    <t>core::ptr::drop_in_place esp_wifi::compat::timer_compat::Timer</t>
  </si>
  <si>
    <t>net80211_printf</t>
  </si>
  <si>
    <t>phy_printf</t>
  </si>
  <si>
    <t>pp_printf</t>
  </si>
  <si>
    <t>esp_wifi::wifi::os_adapter::wifi_zalloc</t>
  </si>
  <si>
    <t>misc_nvs_load</t>
  </si>
  <si>
    <t>misc_nvs_deinit</t>
  </si>
  <si>
    <t xml:space="preserve">misc_nvs_init </t>
  </si>
  <si>
    <t>mesh_sta_auth_expire_time</t>
  </si>
  <si>
    <t>_out_buffer</t>
  </si>
  <si>
    <t>_out_null</t>
  </si>
  <si>
    <t>_out_rev</t>
  </si>
  <si>
    <t>_ntoa_format</t>
  </si>
  <si>
    <t>_ntoa_long</t>
  </si>
  <si>
    <t>_ntoa_long_long</t>
  </si>
  <si>
    <t>_etoa</t>
  </si>
  <si>
    <t>_ftoa</t>
  </si>
  <si>
    <t>_vsnprintf</t>
  </si>
  <si>
    <t>sprintf</t>
  </si>
  <si>
    <t>esf_buf_alloc_dynamic_default_handler</t>
  </si>
  <si>
    <t>esf_buf_alloc_default_handler</t>
  </si>
  <si>
    <t>esf_buf_recycle_default_handler</t>
  </si>
  <si>
    <t>esf_buf_setup_static</t>
  </si>
  <si>
    <t>esf_buf_free_static</t>
  </si>
  <si>
    <t>esf_buf_setdown</t>
  </si>
  <si>
    <t>esf_buf_setup</t>
  </si>
  <si>
    <t>if_hecfg.o</t>
  </si>
  <si>
    <t>ic_get_addr</t>
  </si>
  <si>
    <t>ic_get_ptk_alg</t>
  </si>
  <si>
    <t>ic_disable_crypto</t>
  </si>
  <si>
    <t>ic_set_key</t>
  </si>
  <si>
    <t>ic_get_key</t>
  </si>
  <si>
    <t>ic_obtain_key</t>
  </si>
  <si>
    <t>ic_tx_pkt</t>
  </si>
  <si>
    <t>ic_register_tx_cb</t>
  </si>
  <si>
    <t>ic_register_rx_cb</t>
  </si>
  <si>
    <t>ic_register_timer_post_cb</t>
  </si>
  <si>
    <t>ic_register_michael_mic_failure_cb</t>
  </si>
  <si>
    <t>ic_register_pp_tx_done_cb</t>
  </si>
  <si>
    <t>ic_register_config_cb</t>
  </si>
  <si>
    <t>ic_is_mgmt_hwdecr_enabled</t>
  </si>
  <si>
    <t>ic_register_pm_tx_null_cb</t>
  </si>
  <si>
    <t>ic_register_net80211_tx_cb</t>
  </si>
  <si>
    <t>ic_register_timer_cb</t>
  </si>
  <si>
    <t>ic_register_ftm_callbacks</t>
  </si>
  <si>
    <t>ic_enable_sniffer</t>
  </si>
  <si>
    <t>ic_disable_sniffer</t>
  </si>
  <si>
    <t>ic_set_vif</t>
  </si>
  <si>
    <t>ic_get_next_tbtt</t>
  </si>
  <si>
    <t>ic_del_rx_ba</t>
  </si>
  <si>
    <t>ic_add_rx_ba</t>
  </si>
  <si>
    <t>ic_reset_tbtt</t>
  </si>
  <si>
    <t>ic_del_key_all</t>
  </si>
  <si>
    <t>ic_del_key</t>
  </si>
  <si>
    <t>ic_set_ac_param</t>
  </si>
  <si>
    <t>ic_ampdu_op</t>
  </si>
  <si>
    <t>ic_set_trc</t>
  </si>
  <si>
    <t>ic_deinit</t>
  </si>
  <si>
    <t>ic_init</t>
  </si>
  <si>
    <t>ic_set_interrupt_handler</t>
  </si>
  <si>
    <t>ic_clear_interrupt_handler</t>
  </si>
  <si>
    <t>ic_enable_rx</t>
  </si>
  <si>
    <t>ic_disable_rx</t>
  </si>
  <si>
    <t>ic_set_beacon_int</t>
  </si>
  <si>
    <t>ic_set_mac</t>
  </si>
  <si>
    <t>ic_set_bssid</t>
  </si>
  <si>
    <t>ic_set_current_channel</t>
  </si>
  <si>
    <t>ic_get_random</t>
  </si>
  <si>
    <t>ic_get_pp_hdl</t>
  </si>
  <si>
    <t>ic_set_rx_policy_ubssid_check</t>
  </si>
  <si>
    <t>ic_set_rx_policy</t>
  </si>
  <si>
    <t>ic_set_sta_auth_flag</t>
  </si>
  <si>
    <t>ic_set_interface</t>
  </si>
  <si>
    <t>ic_trc_set_per_pkt_rate</t>
  </si>
  <si>
    <t>ic_trc_update_ifx_phy_mode</t>
  </si>
  <si>
    <t>ic_stop_hw_txq</t>
  </si>
  <si>
    <t>ic_stop_sw_txq</t>
  </si>
  <si>
    <t>ic_create_wifi_task</t>
  </si>
  <si>
    <t>ic_delete_wifi_task</t>
  </si>
  <si>
    <t>ic_update_sta_tsf</t>
  </si>
  <si>
    <t>ic_rx_enable_bssid_check</t>
  </si>
  <si>
    <t>ic_get_default_sched</t>
  </si>
  <si>
    <t>lmacGetTxFrame</t>
  </si>
  <si>
    <t>lmacSetAcParam</t>
  </si>
  <si>
    <t>lmacInitAc</t>
  </si>
  <si>
    <t>lmacInit</t>
  </si>
  <si>
    <t>lmacEndRetryAMPDUFail</t>
  </si>
  <si>
    <t>lmacDebugTxDrop</t>
  </si>
  <si>
    <t>dbg_cnt_lmac_drop</t>
  </si>
  <si>
    <t>lmac_record_txtime</t>
  </si>
  <si>
    <t>lmac_update_tx_statistic</t>
  </si>
  <si>
    <t>lmacDiscardMSDU</t>
  </si>
  <si>
    <t>lmacRetryTxFrame</t>
  </si>
  <si>
    <t>lmacProcessTxopQComplete</t>
  </si>
  <si>
    <t>lmacProcessShortRetryFail</t>
  </si>
  <si>
    <t>lmacProcessCtsTimeout</t>
  </si>
  <si>
    <t>lmacProcessLongRetryFail</t>
  </si>
  <si>
    <t>lmacProcessCollision</t>
  </si>
  <si>
    <t>lmacProcessCollisions_task</t>
  </si>
  <si>
    <t>lmacProcessAckTimeout</t>
  </si>
  <si>
    <t>lmacProcessTxRtsError</t>
  </si>
  <si>
    <t>lmacProcessTxseckiderr</t>
  </si>
  <si>
    <t>lmacProcessTxError</t>
  </si>
  <si>
    <t>lmacDisableTransmit</t>
  </si>
  <si>
    <t>lmacProcessTxTimeout</t>
  </si>
  <si>
    <t>lmacStopTransmit</t>
  </si>
  <si>
    <t>lmac_stop_hw_txq</t>
  </si>
  <si>
    <t>hal_pm_unblock_txq</t>
  </si>
  <si>
    <t>hal_clear_sta_tsf_active_state</t>
  </si>
  <si>
    <t>pm_incr_active_cnt</t>
  </si>
  <si>
    <t>pm_incr_coex_active_cnt</t>
  </si>
  <si>
    <t>pm_disable_active_timer</t>
  </si>
  <si>
    <t>pm_update_at_next_beacon</t>
  </si>
  <si>
    <t>pm_beacon_monitor_tbtt_timeout</t>
  </si>
  <si>
    <t>pm_beacon_monitor_timeout</t>
  </si>
  <si>
    <t>pm_connectionless_wake_window_timeout</t>
  </si>
  <si>
    <t>pm_connectionless_wake_interval_timeout</t>
  </si>
  <si>
    <t>pm_disconnected_sleep_delay_timeout</t>
  </si>
  <si>
    <t>pm_coex_slice_wifi_timeout</t>
  </si>
  <si>
    <t>pm_sleep_delay_timeout</t>
  </si>
  <si>
    <t>pm_active_timeout</t>
  </si>
  <si>
    <t>pm_dream_timeout</t>
  </si>
  <si>
    <t>pm_is_sleeping</t>
  </si>
  <si>
    <t>pm_is_open</t>
  </si>
  <si>
    <t>pm_noise_check_disable</t>
  </si>
  <si>
    <t>pm_noise_check_enable</t>
  </si>
  <si>
    <t>pm_disable_disconnected_sleep_delay_timer</t>
  </si>
  <si>
    <t>pm_enable_disconnected_sleep_delay_timer</t>
  </si>
  <si>
    <t>pm_noise_check</t>
  </si>
  <si>
    <t>pm_pend_noise_check</t>
  </si>
  <si>
    <t>pm_noise_check_process</t>
  </si>
  <si>
    <t>pm_register_pm_tx_null_cb</t>
  </si>
  <si>
    <t>pm_send_nullfunc</t>
  </si>
  <si>
    <t>pm_disconnected_wake</t>
  </si>
  <si>
    <t>pm_disconnected_sleep</t>
  </si>
  <si>
    <t>pm_wake_up</t>
  </si>
  <si>
    <t>pm_send_probe_start</t>
  </si>
  <si>
    <t>pm_off_channel</t>
  </si>
  <si>
    <t>pm_wake_done</t>
  </si>
  <si>
    <t>pm_coex_separate_connectionless_window</t>
  </si>
  <si>
    <t>pm_go_to_sleep</t>
  </si>
  <si>
    <t>pm_set_next_tbtt</t>
  </si>
  <si>
    <t>pm_mesh_set_next_tbtt</t>
  </si>
  <si>
    <t>pm_beacon_timestamp_statistic</t>
  </si>
  <si>
    <t>pm_beacon_misc_process</t>
  </si>
  <si>
    <t>pm_coex_schm_process</t>
  </si>
  <si>
    <t>pm_coex_schm_process_restart</t>
  </si>
  <si>
    <t>pm_coex_slice_timeout_process</t>
  </si>
  <si>
    <t>pm_dream_timeout_process</t>
  </si>
  <si>
    <t>pm_sleep_delay_timeout_process</t>
  </si>
  <si>
    <t>pm_disconnected_sleep_delay_timeout_process</t>
  </si>
  <si>
    <t>pm_tx_data_done_process</t>
  </si>
  <si>
    <t>pm_tx_null_data_done_process</t>
  </si>
  <si>
    <t>pm_go_to_wake</t>
  </si>
  <si>
    <t>pm_send_probe_stop</t>
  </si>
  <si>
    <t>pm_on_channel</t>
  </si>
  <si>
    <t>pm_update_params</t>
  </si>
  <si>
    <t>pm_coex_tbtt_process</t>
  </si>
  <si>
    <t>pm_active_timeout_process</t>
  </si>
  <si>
    <t>pm_send_sleep_null_cb</t>
  </si>
  <si>
    <t>pm_send_wake_null_cb</t>
  </si>
  <si>
    <t>pm_on_coex_schm_process_restart</t>
  </si>
  <si>
    <t>pm_on_coex_schm_status_config</t>
  </si>
  <si>
    <t>pm_on_coex_start</t>
  </si>
  <si>
    <t>pm_on_probe_resp_rx</t>
  </si>
  <si>
    <t>pm_on_data_tx_done</t>
  </si>
  <si>
    <t>pm_disconnected_start</t>
  </si>
  <si>
    <t>pm_disconnected_stop</t>
  </si>
  <si>
    <t>pm_start</t>
  </si>
  <si>
    <t>pm_stop</t>
  </si>
  <si>
    <t>pm_attach</t>
  </si>
  <si>
    <t>pm_deattach</t>
  </si>
  <si>
    <t>pm_force_scan_unlock</t>
  </si>
  <si>
    <t>pm_enable_sta_disconnected_power_management</t>
  </si>
  <si>
    <t>pm_coex_reconnect_policy</t>
  </si>
  <si>
    <t>pm_coex_set_reconnect_policy</t>
  </si>
  <si>
    <t xml:space="preserve">pm_extend.o </t>
  </si>
  <si>
    <t xml:space="preserve">pm_mbssid.o </t>
  </si>
  <si>
    <t>pm_twt.o</t>
  </si>
  <si>
    <t>pp_delete_task_manually</t>
  </si>
  <si>
    <t>getle32</t>
  </si>
  <si>
    <t>putle32</t>
  </si>
  <si>
    <t>xswap</t>
  </si>
  <si>
    <t>pp_register_net80211_tx_cb</t>
  </si>
  <si>
    <t>pp_register_config_cb</t>
  </si>
  <si>
    <t>pp_register_timer_cb</t>
  </si>
  <si>
    <t>pp_register_michael_mic_failure_cb</t>
  </si>
  <si>
    <t>pp_default_event_handler</t>
  </si>
  <si>
    <t>ppRegisterTxDoneUserActionCallback</t>
  </si>
  <si>
    <t>ppRegisterRxCallback</t>
  </si>
  <si>
    <t>ppRegisterTxCallback</t>
  </si>
  <si>
    <t>ppCheckTxQIdle</t>
  </si>
  <si>
    <t>ppCheckIsConnTraffic</t>
  </si>
  <si>
    <t>ppCheckTxConnTrafficIdle</t>
  </si>
  <si>
    <t>ppSetInterface</t>
  </si>
  <si>
    <t>pp_gettid</t>
  </si>
  <si>
    <t>ppAssembleMicHdr</t>
  </si>
  <si>
    <t>ppCalTkipMic</t>
  </si>
  <si>
    <t>ppTxFragmentProc</t>
  </si>
  <si>
    <t>ppClearRxFragment</t>
  </si>
  <si>
    <t>ppFillAMPDUBar</t>
  </si>
  <si>
    <t>ppReSendBar</t>
  </si>
  <si>
    <t>pp_create_task</t>
  </si>
  <si>
    <t>pp_deattach</t>
  </si>
  <si>
    <t>ppInitTxq</t>
  </si>
  <si>
    <t>pp_delete_task</t>
  </si>
  <si>
    <t>ppCheckTxIdle</t>
  </si>
  <si>
    <t>ppCalTxopDur</t>
  </si>
  <si>
    <t>ppPrepareBarFrame</t>
  </si>
  <si>
    <t>pp_attach</t>
  </si>
  <si>
    <t>ppClearTxq</t>
  </si>
  <si>
    <t>pp_stop_sw_txq</t>
  </si>
  <si>
    <t>ppGetTaskHdl</t>
  </si>
  <si>
    <t>dbg_lmac_ps_statis_reset</t>
  </si>
  <si>
    <t>dbg_lmac_init</t>
  </si>
  <si>
    <t>pp_he.o</t>
  </si>
  <si>
    <t>pp_he_ctrl.o</t>
  </si>
  <si>
    <t>pp_test.o</t>
  </si>
  <si>
    <t>pp_timer_beacon_monitor_tbtt</t>
  </si>
  <si>
    <t>pp_timer_beacon_monitor</t>
  </si>
  <si>
    <t>pp_timer_connectionless_wake_window</t>
  </si>
  <si>
    <t>pp_timer_connectionless_wake_interval</t>
  </si>
  <si>
    <t>pp_timer_disconnected_sleep_delay</t>
  </si>
  <si>
    <t>pp_timer_sleep_delay</t>
  </si>
  <si>
    <t>pp_timer_coex_slice</t>
  </si>
  <si>
    <t>pp_timer_active</t>
  </si>
  <si>
    <t>pp_timer_dream</t>
  </si>
  <si>
    <t>pp_timer_noise_check</t>
  </si>
  <si>
    <t>pp_timer_register_post_cb</t>
  </si>
  <si>
    <t>pp_timer_process</t>
  </si>
  <si>
    <t>pp_vht.o</t>
  </si>
  <si>
    <t>RC_GetDuration</t>
  </si>
  <si>
    <t>RC_SetBasicRate</t>
  </si>
  <si>
    <t>RC_GetCtsTime</t>
  </si>
  <si>
    <t>rate_control.o</t>
  </si>
  <si>
    <t>rc11NRate2SchedIdx</t>
  </si>
  <si>
    <t>rc11GRate2SchedIdx</t>
  </si>
  <si>
    <t>rc11BRate2SchedIdx</t>
  </si>
  <si>
    <t>rcLoRaRate2SchedIdx</t>
  </si>
  <si>
    <t>rcBuildIndex</t>
  </si>
  <si>
    <t>rcUpdateAMPDUParam</t>
  </si>
  <si>
    <t>rcGet11NHighestRateIdx</t>
  </si>
  <si>
    <t>rcGet11GHighestRateIdx</t>
  </si>
  <si>
    <t>rcGet11BHighestRateIdx</t>
  </si>
  <si>
    <t>rcGetDefaultHigestRateIdx</t>
  </si>
  <si>
    <t>rcGetHighestRateIdx</t>
  </si>
  <si>
    <t>rcUpdatePhyMode</t>
  </si>
  <si>
    <t>rcTxUpdatePer</t>
  </si>
  <si>
    <t>trc_set_per_pkt_rate</t>
  </si>
  <si>
    <t>rc_get_default_sched</t>
  </si>
  <si>
    <t>rcUpdateRate</t>
  </si>
  <si>
    <t>rcReachRetryLimit</t>
  </si>
  <si>
    <t>rcAttach</t>
  </si>
  <si>
    <t>rc_disable_trc</t>
  </si>
  <si>
    <t>rc_disable_trc_by_interface</t>
  </si>
  <si>
    <t>trc_init</t>
  </si>
  <si>
    <t>trc_update_ifx_phy_mode</t>
  </si>
  <si>
    <t>trc_deinit</t>
  </si>
  <si>
    <t>rc_set_per_conn_fix_rate</t>
  </si>
  <si>
    <t>rc_enable_trc</t>
  </si>
  <si>
    <t>wdev_csi_hw_bug_check</t>
  </si>
  <si>
    <t>wDev_ftm_set_t1t4</t>
  </si>
  <si>
    <t>fn wdev_csi_rx_process</t>
  </si>
  <si>
    <t>wDev_SnifferRxData</t>
  </si>
  <si>
    <t>wDev_IndicateCtrlFrame</t>
  </si>
  <si>
    <t>wDev_SnifferRxAmpdu</t>
  </si>
  <si>
    <t>wDev_SetCurChannel</t>
  </si>
  <si>
    <t>wDev_SetAuthed</t>
  </si>
  <si>
    <t>wDev_Set_Beacon_Int</t>
  </si>
  <si>
    <t>wDev_Reset_TBTT</t>
  </si>
  <si>
    <t>wDev_reset_bcnSendTick</t>
  </si>
  <si>
    <t>wDev_Get_Next_TBTT</t>
  </si>
  <si>
    <t>wdev_set_promis_misc_pkt</t>
  </si>
  <si>
    <t>wdev_set_promis_ctrl_pkt</t>
  </si>
  <si>
    <t>wdev_set_promis</t>
  </si>
  <si>
    <t>wDev_ftm_record_t1t4</t>
  </si>
  <si>
    <t>wDev_ftm_record_t2t3</t>
  </si>
  <si>
    <t>wdev_ftm_set_callbacks</t>
  </si>
  <si>
    <t>wDev_record_ftm_data_local</t>
  </si>
  <si>
    <t>wDev_Rxbuf_Deinit</t>
  </si>
  <si>
    <t>wDev_Rxbuf_Init</t>
  </si>
  <si>
    <t>wDev_disable_low_rate</t>
  </si>
  <si>
    <t>wDev_enable_low_rate</t>
  </si>
  <si>
    <t>wDev_Insert_KeyEntry</t>
  </si>
  <si>
    <t>wDev_remove_KeyEntry</t>
  </si>
  <si>
    <t>wDev_remove_KeyEntry_all_cnx</t>
  </si>
  <si>
    <t>wDev_Crypto_Disable</t>
  </si>
  <si>
    <t>wdev_is_mgmt_hwdecr_enabled</t>
  </si>
  <si>
    <t>wdev_data_init</t>
  </si>
  <si>
    <t>wdev_funcs_init</t>
  </si>
  <si>
    <t>wdev_funcs_deinit</t>
  </si>
  <si>
    <t>hal_ampdu.o</t>
  </si>
  <si>
    <t>hal_agreement_add_rx_ba</t>
  </si>
  <si>
    <t>hal_agreement_del_rx_ba</t>
  </si>
  <si>
    <t>hal_ba_session_restore_by_hw_index</t>
  </si>
  <si>
    <t>hal_coex_pti_init</t>
  </si>
  <si>
    <t>hal_set_rx_beacon_pti</t>
  </si>
  <si>
    <t>hal_set_rx_beacon_time</t>
  </si>
  <si>
    <t>hal_set_rx_active_pti</t>
  </si>
  <si>
    <t>hal_set_rx_ack_pti</t>
  </si>
  <si>
    <t>hal_set_wifi_default_pti</t>
  </si>
  <si>
    <t>hal_crypto.o</t>
  </si>
  <si>
    <t>hal_crypto_clr_key_entry</t>
  </si>
  <si>
    <t>hal_crypto_set_key_entry</t>
  </si>
  <si>
    <t>hal_crypto_is_key_valid</t>
  </si>
  <si>
    <t>hal_crypto_get_key_entry</t>
  </si>
  <si>
    <t>hal_crypto_init</t>
  </si>
  <si>
    <t>hal_crypto_mgmt_rx_enabled</t>
  </si>
  <si>
    <t>hal_crypto_enable</t>
  </si>
  <si>
    <t>hal_crypto_disable</t>
  </si>
  <si>
    <t>hal_he_common.o</t>
  </si>
  <si>
    <t>mac_tx_set_plcp0</t>
  </si>
  <si>
    <t>mac_tx_set_duration</t>
  </si>
  <si>
    <t>hal_mac_tx_set_ppdu</t>
  </si>
  <si>
    <t>hal_mac_set_txq_invalid</t>
  </si>
  <si>
    <t>hal_mac_is_txq_valid</t>
  </si>
  <si>
    <t>hal_mac_tx_set_cca</t>
  </si>
  <si>
    <t>hal_mac_disable_low_rate</t>
  </si>
  <si>
    <t>hal_mac_enable_low_rate</t>
  </si>
  <si>
    <t>mac_rxbuf_init</t>
  </si>
  <si>
    <t>mac_txrx_init</t>
  </si>
  <si>
    <t>hal_mac_set_rxq_policy</t>
  </si>
  <si>
    <t>mac_last_rxbuf_init</t>
  </si>
  <si>
    <t>hal_deinit</t>
  </si>
  <si>
    <t>hal_mac_set_addr</t>
  </si>
  <si>
    <t>hal_mac_set_bssid</t>
  </si>
  <si>
    <t>hal_mac_rx_set_policy</t>
  </si>
  <si>
    <t>hal_init</t>
  </si>
  <si>
    <t>hal_mac_tsf_reset</t>
  </si>
  <si>
    <t>hal_disable_sta_beacon_filter</t>
  </si>
  <si>
    <t>hal_rx_enable_bssid_check</t>
  </si>
  <si>
    <t>hal_mac_ftm_get_t3</t>
  </si>
  <si>
    <t>mac_tx_set_plcp1</t>
  </si>
  <si>
    <t>mac_tx_set_plcp2</t>
  </si>
  <si>
    <t>mac_tx_set_htsig</t>
  </si>
  <si>
    <t>hal_mac_fill_hwtxop</t>
  </si>
  <si>
    <t>mac_tx_set_txop_q</t>
  </si>
  <si>
    <t>hal_mac_get_txq_state</t>
  </si>
  <si>
    <t>hal_mac_clr_txq_state</t>
  </si>
  <si>
    <t>hal_mac_get_txq_pmd</t>
  </si>
  <si>
    <t>hal_attenna_init</t>
  </si>
  <si>
    <t>hal_mac_rate_autoack_init</t>
  </si>
  <si>
    <t>hal_sniffer.o</t>
  </si>
  <si>
    <t>hal_sniffer_enable</t>
  </si>
  <si>
    <t>hal_sniffer_disable</t>
  </si>
  <si>
    <t>hal_sniffer_rx_set_promis</t>
  </si>
  <si>
    <t>hal_sniffer_set_promis_misc_pkt</t>
  </si>
  <si>
    <t>hal_enable_sta_tsf</t>
  </si>
  <si>
    <t>hal_disable_sta_tsf</t>
  </si>
  <si>
    <t>hal_disable_softap_tsf</t>
  </si>
  <si>
    <t>hal_timer_update_by_rtc</t>
  </si>
  <si>
    <t>hal_set_sta_tsf</t>
  </si>
  <si>
    <t>hal_enable_sta_tbtt</t>
  </si>
  <si>
    <t>hal_disable_sta_tbtt</t>
  </si>
  <si>
    <t>hal_set_sta_tbtt</t>
  </si>
  <si>
    <t>hal_set_sta_tbtt_interval</t>
  </si>
  <si>
    <t>hal_set_sta_tbtt_ahead_time</t>
  </si>
  <si>
    <t>hal_set_sta_tsf_wakeup</t>
  </si>
  <si>
    <t>hal_tsf_get_tbttstart</t>
  </si>
  <si>
    <t>phy_analog_cal.o</t>
  </si>
  <si>
    <t>get_rc_dout</t>
  </si>
  <si>
    <t>rc_cal</t>
  </si>
  <si>
    <t>phy_change_channel</t>
  </si>
  <si>
    <t>phy_bbpll_en_usb</t>
  </si>
  <si>
    <t>phy_get_rf_cal_version</t>
  </si>
  <si>
    <t>noise_check_loop</t>
  </si>
  <si>
    <t>chan14_mic_cfg</t>
  </si>
  <si>
    <t>4201f6a4</t>
  </si>
  <si>
    <t>phy_debug.o</t>
  </si>
  <si>
    <t>get_phy_version_str</t>
  </si>
  <si>
    <t>get_iq_value</t>
  </si>
  <si>
    <t>get_bias_ref_code</t>
  </si>
  <si>
    <t>phy_get_vdd33</t>
  </si>
  <si>
    <t>phy_set_most_tpw</t>
  </si>
  <si>
    <t>phy_11p_set</t>
  </si>
  <si>
    <t>phy_enable_low_rate</t>
  </si>
  <si>
    <t>phy_disable_low_rate</t>
  </si>
  <si>
    <t>set_rx_sense</t>
  </si>
  <si>
    <t>wr_rf_freq_mem</t>
  </si>
  <si>
    <t>freq_i2c_write_set</t>
  </si>
  <si>
    <t>get_rf_freq_init</t>
  </si>
  <si>
    <t>freq_get_i2c_data</t>
  </si>
  <si>
    <t>freq_i2c_data_write</t>
  </si>
  <si>
    <t>set_chan_freq_hw_init</t>
  </si>
  <si>
    <t>set_chan_freq_sw_start</t>
  </si>
  <si>
    <t>rom_i2c_sar2_init_code</t>
  </si>
  <si>
    <t>phy_i2c_init2</t>
  </si>
  <si>
    <t>phy_get_i2c_data</t>
  </si>
  <si>
    <t>bias_reg_set</t>
  </si>
  <si>
    <t>i2c_bbpll_set</t>
  </si>
  <si>
    <t>phy_get_romfunc_addr</t>
  </si>
  <si>
    <t>rf_init</t>
  </si>
  <si>
    <t>register_chipv7_phy_init_param</t>
  </si>
  <si>
    <t>phy_set_mac_data</t>
  </si>
  <si>
    <t>phy_rfcal_data_sub</t>
  </si>
  <si>
    <t>rf_cal_data_recovery</t>
  </si>
  <si>
    <t>phy_rfcal_data_check_value</t>
  </si>
  <si>
    <t>rf_cal_data_backup</t>
  </si>
  <si>
    <t>phy_rfcal_data_check</t>
  </si>
  <si>
    <t>rf_cal_level_check</t>
  </si>
  <si>
    <t>bb_init</t>
  </si>
  <si>
    <t>register_chipv7_phy</t>
  </si>
  <si>
    <t>get_txcap_data</t>
  </si>
  <si>
    <t>phy_pbus.o</t>
  </si>
  <si>
    <t>ram_pbus_force_mode</t>
  </si>
  <si>
    <t>rom_pbus_xpd_tx_on</t>
  </si>
  <si>
    <t>txcal_debuge_mode</t>
  </si>
  <si>
    <t>txcal_work_mode</t>
  </si>
  <si>
    <t>save_pbus_reg</t>
  </si>
  <si>
    <t>set_pbus_mem</t>
  </si>
  <si>
    <t>phy_pwdet.o</t>
  </si>
  <si>
    <t>phy_set_pwdet_power</t>
  </si>
  <si>
    <t>get_sar_sig_ref</t>
  </si>
  <si>
    <t>pwdet_tone_start</t>
  </si>
  <si>
    <t>get_tone_sar_dout</t>
  </si>
  <si>
    <t>get_fm_sar_dout</t>
  </si>
  <si>
    <t>txtone_linear_pwr</t>
  </si>
  <si>
    <t>get_power_db</t>
  </si>
  <si>
    <t>rom1_read_sar2_code</t>
  </si>
  <si>
    <t>txiq_set_reg</t>
  </si>
  <si>
    <t>rxiq_set_reg</t>
  </si>
  <si>
    <t>start_tx_tone_step</t>
  </si>
  <si>
    <t>stop_tx_tone</t>
  </si>
  <si>
    <t>read_hw_noisefloor</t>
  </si>
  <si>
    <t>rom1_set_noise_floor</t>
  </si>
  <si>
    <t>phy_freq_correct</t>
  </si>
  <si>
    <t>force_txrx_off</t>
  </si>
  <si>
    <t>phy_rfpll.o</t>
  </si>
  <si>
    <t>restart_cal</t>
  </si>
  <si>
    <t>write_rfpll_sdm</t>
  </si>
  <si>
    <t>wait_rfpll_cal_end</t>
  </si>
  <si>
    <t>rfpll_set_freq</t>
  </si>
  <si>
    <t>correct_rfpll_offset</t>
  </si>
  <si>
    <t>rom2_write_pll_cap</t>
  </si>
  <si>
    <t>rom2_read_pll_cap</t>
  </si>
  <si>
    <t>rfpll_cap_init_cal</t>
  </si>
  <si>
    <t>set_rfpll_freq</t>
  </si>
  <si>
    <t>set_rf_freq_offset</t>
  </si>
  <si>
    <t>set_channel_rfpll_freq</t>
  </si>
  <si>
    <t>chip_v7_set_chan_misc</t>
  </si>
  <si>
    <t>chip_v7_set_chan</t>
  </si>
  <si>
    <t>chip_v7_set_chan_offset</t>
  </si>
  <si>
    <t>chip_v7_set_chan_ana</t>
  </si>
  <si>
    <t>set_chanfreq</t>
  </si>
  <si>
    <t>phy_rom.o</t>
  </si>
  <si>
    <t>rom_phy_param_addr</t>
  </si>
  <si>
    <t>chip726_phyrom_version_num</t>
  </si>
  <si>
    <t>phy_rx_cal.o</t>
  </si>
  <si>
    <t>rxiq_get_mis</t>
  </si>
  <si>
    <t>rxiq_cover_mg_mp</t>
  </si>
  <si>
    <t>rfcal_rxiq</t>
  </si>
  <si>
    <t>get_rfcal_rxiq_data</t>
  </si>
  <si>
    <t>pbus_rx_dco_cal</t>
  </si>
  <si>
    <t>rxdc_est_min_new</t>
  </si>
  <si>
    <t>pbus_rx_dco_cal_1step_new</t>
  </si>
  <si>
    <t>set_rx_gain_cal_iq</t>
  </si>
  <si>
    <t>rx_chan_dc_sort</t>
  </si>
  <si>
    <t>set_rx_gain_cal_dc</t>
  </si>
  <si>
    <t>phy_rx_gain.o</t>
  </si>
  <si>
    <t>gen_rx_gain_table</t>
  </si>
  <si>
    <t>wr_rx_gain_mem</t>
  </si>
  <si>
    <t>set_rx_gain_param</t>
  </si>
  <si>
    <t>set_rx_gain_table</t>
  </si>
  <si>
    <t>phy_tester_cali.o</t>
  </si>
  <si>
    <t>phy_track.o</t>
  </si>
  <si>
    <t>rom1_txpwr_cal_track</t>
  </si>
  <si>
    <t>txpwr_offset</t>
  </si>
  <si>
    <t>phy_tsens.o</t>
  </si>
  <si>
    <t>phy_set_tsens_power</t>
  </si>
  <si>
    <t>rom2_tsens_read_init1</t>
  </si>
  <si>
    <t>tsens_dac_to_index</t>
  </si>
  <si>
    <t>tsens_dac_cal1</t>
  </si>
  <si>
    <t>rom_tsens_code_read</t>
  </si>
  <si>
    <t>tsens_temp_read1</t>
  </si>
  <si>
    <t>phy_get_tsens_value</t>
  </si>
  <si>
    <t>rom1_tsens_temp_read</t>
  </si>
  <si>
    <t>rom2_temp_to_power1</t>
  </si>
  <si>
    <t>get_temp_init</t>
  </si>
  <si>
    <t>phy_tx_cal.o</t>
  </si>
  <si>
    <t>txdc_cal_v70</t>
  </si>
  <si>
    <t>bt_txdc_cal</t>
  </si>
  <si>
    <t>txdc_cal_init</t>
  </si>
  <si>
    <t>txiq_get_mis_pwr</t>
  </si>
  <si>
    <t>txiq_cover</t>
  </si>
  <si>
    <t>get_power_atten</t>
  </si>
  <si>
    <t>rfcal_txiq</t>
  </si>
  <si>
    <t>bt_txiq_cal</t>
  </si>
  <si>
    <t>txiq_cal_init</t>
  </si>
  <si>
    <t>pwdet_ref_code</t>
  </si>
  <si>
    <t>pwdet_code_cal</t>
  </si>
  <si>
    <t>rfcal_txcap</t>
  </si>
  <si>
    <t>tx_cap_init</t>
  </si>
  <si>
    <t>rfcal_pwrctrl</t>
  </si>
  <si>
    <t>tx_pwctrl_init_cal</t>
  </si>
  <si>
    <t>tx_pwctrl_init</t>
  </si>
  <si>
    <t>bt_tx_pwctrl_init</t>
  </si>
  <si>
    <t>bt_txpwr_freq</t>
  </si>
  <si>
    <t>rom_txbbgain_to_index</t>
  </si>
  <si>
    <t>rom_index_to_txbbgain</t>
  </si>
  <si>
    <t>bt_chan_pwr_interp</t>
  </si>
  <si>
    <t>rom_set_tx_gain_mem</t>
  </si>
  <si>
    <t>rom1_get_rate_fcc_index</t>
  </si>
  <si>
    <t>rom1_get_chan_target_power</t>
  </si>
  <si>
    <t>rom2_get_tx_gain_value1</t>
  </si>
  <si>
    <t>rom1_wifi_get_tx_gain</t>
  </si>
  <si>
    <t>ram1_wifi_set_tx_gain</t>
  </si>
  <si>
    <t>rom1_bt_get_tx_gain</t>
  </si>
  <si>
    <t>rom1_bt_set_tx_gain</t>
  </si>
  <si>
    <t>bt_tx_gain_init</t>
  </si>
  <si>
    <t>txcal_gain_check</t>
  </si>
  <si>
    <t>ieee80211_action.o</t>
  </si>
  <si>
    <t>send_inval</t>
  </si>
  <si>
    <t>recv_inval</t>
  </si>
  <si>
    <t>ieee80211_send_action_register</t>
  </si>
  <si>
    <t>ieee80211_send_action</t>
  </si>
  <si>
    <t>ieee80211_recv_action_register</t>
  </si>
  <si>
    <t>ieee80211_recv_action</t>
  </si>
  <si>
    <t>ieee80211_action_vendor.o</t>
  </si>
  <si>
    <t>get_iav_key</t>
  </si>
  <si>
    <t>ieee80211_recv_action_vendor_spec</t>
  </si>
  <si>
    <t>ieee80211_action_vendor_spec_attach</t>
  </si>
  <si>
    <t>wifi_ant_update_empty_func</t>
  </si>
  <si>
    <t>esp_wifi_set_inactive_time_local</t>
  </si>
  <si>
    <t>esp_wifi_send_deauth_local</t>
  </si>
  <si>
    <t>wifi_get_init_state</t>
  </si>
  <si>
    <t>wifi_is_stop_in_progress</t>
  </si>
  <si>
    <t>wifi_api_lock</t>
  </si>
  <si>
    <t>wifi_api_unlock</t>
  </si>
  <si>
    <t>wifi_init_completed</t>
  </si>
  <si>
    <t>wifi_station_get_config_local</t>
  </si>
  <si>
    <t>wifi_softap_get_config</t>
  </si>
  <si>
    <t>esp_wifi_get_mode</t>
  </si>
  <si>
    <t>wifi_deinit_in_caller_task</t>
  </si>
  <si>
    <t>wifi_init_in_caller_task</t>
  </si>
  <si>
    <t>wifi_osi_funcs_register</t>
  </si>
  <si>
    <t>net80211_data_ptr_init</t>
  </si>
  <si>
    <t>net80211_softap_funcs_init</t>
  </si>
  <si>
    <t>net80211_funcs_init</t>
  </si>
  <si>
    <t>net80211_funcs_deinit</t>
  </si>
  <si>
    <t>esp_wifi_init_internal</t>
  </si>
  <si>
    <t>esp_wifi_set_mode</t>
  </si>
  <si>
    <t>esp_wifi_start</t>
  </si>
  <si>
    <t>esp_wifi_set_config</t>
  </si>
  <si>
    <t>esp_wifi_get_config</t>
  </si>
  <si>
    <t>esp_wifi_internal_reg_rxcb</t>
  </si>
  <si>
    <t>wifi_event_post</t>
  </si>
  <si>
    <t>wifi_mesh_event_post</t>
  </si>
  <si>
    <t>esp_wifi_vnd_lora_enable</t>
  </si>
  <si>
    <t>esp_wifi_vnd_lora_disable</t>
  </si>
  <si>
    <t>esp_wifi_get_event_mask</t>
  </si>
  <si>
    <t>esp_wifi_ipc_internal</t>
  </si>
  <si>
    <t>esp_wifi_internal_on_coex_start</t>
  </si>
  <si>
    <t>esp_wifi_internal_on_coex_schm_phase</t>
  </si>
  <si>
    <t>esp_wifi_internal_issue_disconnect</t>
  </si>
  <si>
    <t>esp_wifi_set_tx_done_cb</t>
  </si>
  <si>
    <t>esp_wifi_set_inactive_time</t>
  </si>
  <si>
    <t>esp_mesh_map_deauth</t>
  </si>
  <si>
    <t>esp_mesh_get_running_active_duty_cycle</t>
  </si>
  <si>
    <t>ieee80211_btwt.o</t>
  </si>
  <si>
    <t>ieee80211.o</t>
  </si>
  <si>
    <t>ieee80211_freedom_inside_cb</t>
  </si>
  <si>
    <t>ieee80211_send_sa_query</t>
  </si>
  <si>
    <t>ieee80211_send_sa_query_resp</t>
  </si>
  <si>
    <t>ieee80211_send_sa_query_req</t>
  </si>
  <si>
    <t>ieee80211_recv_sa_query_resp</t>
  </si>
  <si>
    <t>ieee80211_recv_sa_query_req</t>
  </si>
  <si>
    <t>ieee80211_rate_ref_init</t>
  </si>
  <si>
    <t>ieee80211_freedom_init</t>
  </si>
  <si>
    <t>ieee80211_user_ie_init</t>
  </si>
  <si>
    <t>ieee80211_ifattach</t>
  </si>
  <si>
    <t>ieee80211_ifdetach</t>
  </si>
  <si>
    <t>wifi_destroy_softap</t>
  </si>
  <si>
    <t>wifi_destroy_sta</t>
  </si>
  <si>
    <t>ieee80211_find_elem_match</t>
  </si>
  <si>
    <t>ieee80211_find_ie</t>
  </si>
  <si>
    <t>ieee80211_setup_pmf</t>
  </si>
  <si>
    <t>wifi_create_softap</t>
  </si>
  <si>
    <t>wifi_create_sta</t>
  </si>
  <si>
    <t>wifi_mode_set</t>
  </si>
  <si>
    <t>ieee80211_is_robust_mgmt_frm</t>
  </si>
  <si>
    <t>ieee80211_crypto.o</t>
  </si>
  <si>
    <t>ieee80211_crypto_attach</t>
  </si>
  <si>
    <t>ieee80211_crypto_decap</t>
  </si>
  <si>
    <t>ieee80211_crypto_aes_128_cmac_encrypt</t>
  </si>
  <si>
    <t>ieee80211_crypto_aes_128_cmac_decrypt</t>
  </si>
  <si>
    <t>ieee80211_crypto_gmac_decrypt</t>
  </si>
  <si>
    <t>ieee80211_get_cipher_mic_len</t>
  </si>
  <si>
    <t>ieee80211_crypto_ccmp.o</t>
  </si>
  <si>
    <t>ccmp_encap</t>
  </si>
  <si>
    <t>ccmp_decap</t>
  </si>
  <si>
    <t>ieee80211_decrypt_espnow_pkt</t>
  </si>
  <si>
    <t>ieee80211_ccmp_decrypt</t>
  </si>
  <si>
    <t>ieee80211_crypto_gcmp.o</t>
  </si>
  <si>
    <t>gcmp_encap</t>
  </si>
  <si>
    <t>gcmp_decap</t>
  </si>
  <si>
    <t>ieee80211_crypto_sms4.o</t>
  </si>
  <si>
    <t>sms4_decap</t>
  </si>
  <si>
    <t>sms4_encap</t>
  </si>
  <si>
    <t>ieee80211_crypto_tkip.o</t>
  </si>
  <si>
    <t>tkip_decap</t>
  </si>
  <si>
    <t>tkip_encap</t>
  </si>
  <si>
    <t>ieee80211_crypto_wep.o</t>
  </si>
  <si>
    <t>wep_encap</t>
  </si>
  <si>
    <t>wep_decap</t>
  </si>
  <si>
    <t>ieee80211_debug.o</t>
  </si>
  <si>
    <t>wifi_log</t>
  </si>
  <si>
    <t>ieee80211_ets.o</t>
  </si>
  <si>
    <t>ieee80211_getmgtframe</t>
  </si>
  <si>
    <t>ieee80211_getbcnframe</t>
  </si>
  <si>
    <t>ieee80211_ftm.o</t>
  </si>
  <si>
    <t>ftm_get_phy_comp</t>
  </si>
  <si>
    <t>ieee80211_ftm_measurement_txcb</t>
  </si>
  <si>
    <t>ftm_session_timeout</t>
  </si>
  <si>
    <t>ftm_send_msmt_pkt</t>
  </si>
  <si>
    <t>ftm_request_timeout</t>
  </si>
  <si>
    <t>ftm_send_request</t>
  </si>
  <si>
    <t>ftm_record_t2t3_cb</t>
  </si>
  <si>
    <t>ftm_offchan_end</t>
  </si>
  <si>
    <t>public_send_action_ftm_req</t>
  </si>
  <si>
    <t>ftm_is_responder_supported</t>
  </si>
  <si>
    <t>ftm_get_resp_session_for_peer</t>
  </si>
  <si>
    <t>ftm_get_resp_session_by_cookie</t>
  </si>
  <si>
    <t>ftm_add_resp_session</t>
  </si>
  <si>
    <t>ftm_free_resp_session</t>
  </si>
  <si>
    <t>ftm_record_t1t4_cb</t>
  </si>
  <si>
    <t>ftm_set_t1t4_cb</t>
  </si>
  <si>
    <t>ftm_responder_cleanup</t>
  </si>
  <si>
    <t>ftm_resp_get_burst_slot</t>
  </si>
  <si>
    <t>ftm_resp_get_burst_inst_delay</t>
  </si>
  <si>
    <t>public_send_action_ftm_resp</t>
  </si>
  <si>
    <t>ieee80211_ftm_sess_timeout_process</t>
  </si>
  <si>
    <t>ieee80211_tx_ftm_msmt_process</t>
  </si>
  <si>
    <t>ftm_resp_allocate_para</t>
  </si>
  <si>
    <t>ftm_create_responder_session</t>
  </si>
  <si>
    <t>ftm_send_initial_resp</t>
  </si>
  <si>
    <t>public_recv_action_ftm_req</t>
  </si>
  <si>
    <t>ftm_is_initiator_supported</t>
  </si>
  <si>
    <t>ftm_initiator_post_event</t>
  </si>
  <si>
    <t>ftm_parse_data</t>
  </si>
  <si>
    <t>ftm_initiator_session_end</t>
  </si>
  <si>
    <t>ftm_initiator_session_abort</t>
  </si>
  <si>
    <t>ieee80211_ftm_request_txcb</t>
  </si>
  <si>
    <t>ieee80211_send_ftmr_process</t>
  </si>
  <si>
    <t>ftm_initiator_process_resp</t>
  </si>
  <si>
    <t>public_recv_action_ftm_resp</t>
  </si>
  <si>
    <t>ftm_initiator_negotiate_session</t>
  </si>
  <si>
    <t>ftm_offchan_tx_req</t>
  </si>
  <si>
    <t>ftm_initiator_start_session</t>
  </si>
  <si>
    <t>ieee80211_ftm_req_timeout_process</t>
  </si>
  <si>
    <t>ftm_initiator_cleanup</t>
  </si>
  <si>
    <t>ieee80211_ftm_attach</t>
  </si>
  <si>
    <t>ieee80211_ftm_detach</t>
  </si>
  <si>
    <t>ieee80211_he.o</t>
  </si>
  <si>
    <t>is_non_esp_oui</t>
  </si>
  <si>
    <t>is_esp_manufacturer_oui</t>
  </si>
  <si>
    <t>ieee80211_is_action_category_robust</t>
  </si>
  <si>
    <t>ieee80211_hostapd_beacon_txcb</t>
  </si>
  <si>
    <t>ieee80211_hostap_send_beacon</t>
  </si>
  <si>
    <t>hostap_handle_timer</t>
  </si>
  <si>
    <t>ap_try_sa_query</t>
  </si>
  <si>
    <t>ap_sa_query_timeout</t>
  </si>
  <si>
    <t>ieee80211_hostapd_ps_txcb</t>
  </si>
  <si>
    <t>ieee80211_free_beacon_eb</t>
  </si>
  <si>
    <t>ieee80211_hostap_send_beacon_process</t>
  </si>
  <si>
    <t>hostap_delete_ptk</t>
  </si>
  <si>
    <t>ieee80211_hostap_attach</t>
  </si>
  <si>
    <t>hostap_deliver_data</t>
  </si>
  <si>
    <t>hostap_handle_timer_process</t>
  </si>
  <si>
    <t>wifi_ap_reg_rxcb</t>
  </si>
  <si>
    <t>ap_rx_cb</t>
  </si>
  <si>
    <t>hostap_auth_open</t>
  </si>
  <si>
    <t>hostap_recv_ctl</t>
  </si>
  <si>
    <t>wifi_softap_start</t>
  </si>
  <si>
    <t>wifi_softap_stop</t>
  </si>
  <si>
    <t>ap_sa_query_timeout_process</t>
  </si>
  <si>
    <t>ap_try_sa_query_process</t>
  </si>
  <si>
    <t>hostap_recv_mgmt</t>
  </si>
  <si>
    <t>hostap_input</t>
  </si>
  <si>
    <t>add_mic_ie_bip</t>
  </si>
  <si>
    <t>addba_stop_timeout</t>
  </si>
  <si>
    <t>ieee80211_ampdu_timeout</t>
  </si>
  <si>
    <t>addba_timeout</t>
  </si>
  <si>
    <t>ieee80211_ampdu_stop_age_timer</t>
  </si>
  <si>
    <t>ieee80211_add_htcap_body</t>
  </si>
  <si>
    <t>ht_recv_action_ba_addba_response</t>
  </si>
  <si>
    <t>ampdu_tx_stop</t>
  </si>
  <si>
    <t>addba_response_txcb</t>
  </si>
  <si>
    <t>ieee80211_ht_attach</t>
  </si>
  <si>
    <t>ampdu_free_rx_ba_index</t>
  </si>
  <si>
    <t>ht_recv_action_ba_delba</t>
  </si>
  <si>
    <t>ampdu_alloc_rx_ba_index</t>
  </si>
  <si>
    <t>ampdu_rx_stop.isra.7</t>
  </si>
  <si>
    <t>ampdu_rx_start.isra.10</t>
  </si>
  <si>
    <t>ht_recv_action_ba_addba_request</t>
  </si>
  <si>
    <t>ieee80211_ht_deattach</t>
  </si>
  <si>
    <t>ieee80211_ampdu_enable</t>
  </si>
  <si>
    <t>addba_timeout_process</t>
  </si>
  <si>
    <t>ieee80211_ampdu_request</t>
  </si>
  <si>
    <t>ieee80211_ampdu_age_bss</t>
  </si>
  <si>
    <t>ieee80211_ampdu_age_all</t>
  </si>
  <si>
    <t>ampdu_process_multicast_address_qos_frame</t>
  </si>
  <si>
    <t>ieee80211_recv_bar</t>
  </si>
  <si>
    <t>ieee80211_ht_node_cleanup</t>
  </si>
  <si>
    <t>ieee80211_ht_node_init</t>
  </si>
  <si>
    <t>ieee80211_parse_htcap</t>
  </si>
  <si>
    <t>ieee80211_has_ht40_bss</t>
  </si>
  <si>
    <t>ieee80211_update_channel</t>
  </si>
  <si>
    <t>ieee80211_ht_updatehtcap</t>
  </si>
  <si>
    <t>ieee80211_ht_updateparams</t>
  </si>
  <si>
    <t>ieee80211_setup_htrates</t>
  </si>
  <si>
    <t>ieee80211_setup_basic_htrates</t>
  </si>
  <si>
    <t>ieee80211_add_htcap</t>
  </si>
  <si>
    <t>ieee80211_add_htcap_vendor</t>
  </si>
  <si>
    <t>ieee80211_add_htinfo_body</t>
  </si>
  <si>
    <t>ieee80211_add_htinfo</t>
  </si>
  <si>
    <t>ieee80211_add_htinfo_vendor</t>
  </si>
  <si>
    <t>ht_action_output</t>
  </si>
  <si>
    <t>ht_send_action_ba_delba</t>
  </si>
  <si>
    <t>ht_send_action_ba_addba</t>
  </si>
  <si>
    <t>ieee80211_decap1</t>
  </si>
  <si>
    <t>ieee80211_decap_amsdu</t>
  </si>
  <si>
    <t>ieee80211_ie_vendor.o</t>
  </si>
  <si>
    <t>ieee80211_add_ie_vendor_esp_head</t>
  </si>
  <si>
    <t>ieee80211_add_ie_vendor_esp_manufacturer</t>
  </si>
  <si>
    <t>ieee80211_input.o</t>
  </si>
  <si>
    <t>wpa_cipher</t>
  </si>
  <si>
    <t>rsn_cipher</t>
  </si>
  <si>
    <t>ieee80211_decap</t>
  </si>
  <si>
    <t>ieee80211_is_support_rate</t>
  </si>
  <si>
    <t>ieee80211_setup_rates</t>
  </si>
  <si>
    <t>ieee80211_set_max_rate</t>
  </si>
  <si>
    <t>ieee80211_is_lr_only</t>
  </si>
  <si>
    <t>ieee80211_setup_phy_mode</t>
  </si>
  <si>
    <t>ieee80211_setup_lr_rates</t>
  </si>
  <si>
    <t>ieee80211_alloc_challenge</t>
  </si>
  <si>
    <t>ieee80211_parse_beacon</t>
  </si>
  <si>
    <t>ieee80211_parse_wpa</t>
  </si>
  <si>
    <t>ieee80211_rsn_cipher_priority</t>
  </si>
  <si>
    <t>ieee80211_better_rsn_pairwise_cipher</t>
  </si>
  <si>
    <t>ieee80211_amsdu_negotiate</t>
  </si>
  <si>
    <t>ieee80211_parse_rsn</t>
  </si>
  <si>
    <t>ieee80211_is_ht_cipher</t>
  </si>
  <si>
    <t>ieee80211_parse_wapi</t>
  </si>
  <si>
    <t>ieee80211_parse_action</t>
  </si>
  <si>
    <t>ieee80211_setup_rateset</t>
  </si>
  <si>
    <t>wifi_pmk_is_valid</t>
  </si>
  <si>
    <t>ieee80211_ioctl_process</t>
  </si>
  <si>
    <t>wifi_station_set_config_local_2.isra.1</t>
  </si>
  <si>
    <t>current_task_is_wifi_task</t>
  </si>
  <si>
    <t>adc2_wifi_acquire</t>
  </si>
  <si>
    <t>wifi_station_get_reconnect_policy</t>
  </si>
  <si>
    <t>_do_wifi_stop</t>
  </si>
  <si>
    <t>_do_wifi_start</t>
  </si>
  <si>
    <t>ieee80211_set_phy_bw</t>
  </si>
  <si>
    <t>wifi_station_save_ap_channel</t>
  </si>
  <si>
    <t>ieee80211_sta_disconnect</t>
  </si>
  <si>
    <t>_do_wifi_disconnect</t>
  </si>
  <si>
    <t>wifi_softap_max_support_num</t>
  </si>
  <si>
    <t>wifi_softap_set_config</t>
  </si>
  <si>
    <t>chip_enable</t>
  </si>
  <si>
    <t>chip_disable</t>
  </si>
  <si>
    <t>wifi_reset_mac</t>
  </si>
  <si>
    <t>wifi_hw_start</t>
  </si>
  <si>
    <t>wifi_stop_sw_txq</t>
  </si>
  <si>
    <t>wifi_hw_stop</t>
  </si>
  <si>
    <t>wifi_set_mode_process</t>
  </si>
  <si>
    <t>wifi_menuconfig_init</t>
  </si>
  <si>
    <t>wpa_crypto_funcs_init</t>
  </si>
  <si>
    <t>wifi_crypto_init</t>
  </si>
  <si>
    <t>wifi_hmac_init</t>
  </si>
  <si>
    <t>wifi_lmac_init</t>
  </si>
  <si>
    <t>wifi_deinit</t>
  </si>
  <si>
    <t>wifi_init_process</t>
  </si>
  <si>
    <t>wifi_start_process</t>
  </si>
  <si>
    <t>wifi_disconnect_process</t>
  </si>
  <si>
    <t>wifi_set_config_process</t>
  </si>
  <si>
    <t>wifi_set_rxcb_process</t>
  </si>
  <si>
    <t>wifi_wps_is_started</t>
  </si>
  <si>
    <t>wifi_wpa2_is_started</t>
  </si>
  <si>
    <t>wifi_ipc_process</t>
  </si>
  <si>
    <t>ieee80211_set_appie</t>
  </si>
  <si>
    <t>wifi_set_appie_process</t>
  </si>
  <si>
    <t>wifi_send_mgmt_frame</t>
  </si>
  <si>
    <t>wifi_register_mgmt_frame</t>
  </si>
  <si>
    <t>wifi_ap_remove_sta_node_process</t>
  </si>
  <si>
    <t>wifi_on_coex_start_process</t>
  </si>
  <si>
    <t>wifi_on_coex_schm_phase_process</t>
  </si>
  <si>
    <t>wifi_mesh_ps_duty_cycle_get_process</t>
  </si>
  <si>
    <t>ieee80211_ioctl_init</t>
  </si>
  <si>
    <t>ieee80211_ioctl_deinit</t>
  </si>
  <si>
    <t>ieee80211_ioctl</t>
  </si>
  <si>
    <t>config_get_wifi_task_stack_size</t>
  </si>
  <si>
    <t>ieee80211_mbssid.o</t>
  </si>
  <si>
    <t>ieee80211_mesh_quick.o</t>
  </si>
  <si>
    <t>is_esp_mesh_assoc</t>
  </si>
  <si>
    <t>ieee80211_nan_common.o</t>
  </si>
  <si>
    <t>ieee80211_nan_datapath.o</t>
  </si>
  <si>
    <t>ieee80211_nan_disc.o</t>
  </si>
  <si>
    <t>ieee80211_nan_sd.o</t>
  </si>
  <si>
    <t>ieee80211_node.o</t>
  </si>
  <si>
    <t>ieee80211_nvs.o</t>
  </si>
  <si>
    <t>wifi_nvs_cfg_item_init</t>
  </si>
  <si>
    <t>wifi_nvs_cfg_init</t>
  </si>
  <si>
    <t>wifi_nvs_get</t>
  </si>
  <si>
    <t>wifi_nvs_commit</t>
  </si>
  <si>
    <t>wifi_nvs_set</t>
  </si>
  <si>
    <t>ieee80211_adjust_2nd_chan</t>
  </si>
  <si>
    <t>wifi_nvs_compare_cfg_diff</t>
  </si>
  <si>
    <t>wifi_set_default_ssid</t>
  </si>
  <si>
    <t>wifi_nvs_validate_ap_ssid</t>
  </si>
  <si>
    <t>wifi_nvs_validate_ap_password</t>
  </si>
  <si>
    <t>wifi_nvs_validate_sta_password</t>
  </si>
  <si>
    <t>wifi_nvs_validate_country</t>
  </si>
  <si>
    <t>wifi_nvs_validate_ap_chan</t>
  </si>
  <si>
    <t>wifi_nvs_validate_ap_num</t>
  </si>
  <si>
    <t>wifi_nvs_validate_sta_listen_interval</t>
  </si>
  <si>
    <t>wifi_nvs_load</t>
  </si>
  <si>
    <t>wifi_nvs_get_sta_listen_interval</t>
  </si>
  <si>
    <t>wifi_nvs_reset_current_ap_info</t>
  </si>
  <si>
    <t>wifi_nvs_deinit</t>
  </si>
  <si>
    <t>wifi_nvs_init</t>
  </si>
  <si>
    <t>add_appie</t>
  </si>
  <si>
    <t>ieee80211_vnd_ie_size.part.4</t>
  </si>
  <si>
    <t>ieee80211_set_hmac_stop</t>
  </si>
  <si>
    <t>ieee80211_empty_txq</t>
  </si>
  <si>
    <t>is_wapi_alloc_tx_buf</t>
  </si>
  <si>
    <t>ieee80211_wapi_alloc_tx_buf</t>
  </si>
  <si>
    <t>ieee80211_amsdu_adjust_head</t>
  </si>
  <si>
    <t>ieee80211_amsdu_length_check</t>
  </si>
  <si>
    <t>ieee80211_output_init</t>
  </si>
  <si>
    <t>ieee80211_send_setup</t>
  </si>
  <si>
    <t>ieee80211_tx_mgt_cb</t>
  </si>
  <si>
    <t>ieee80211_classify</t>
  </si>
  <si>
    <t>ieee80211_add_rates</t>
  </si>
  <si>
    <t>ieee80211_add_dsparams</t>
  </si>
  <si>
    <t>ieee80211_add_xrates</t>
  </si>
  <si>
    <t>ieee80211_add_probe_resp_app_ies</t>
  </si>
  <si>
    <t>ieee80211_add_beacon_app_ies</t>
  </si>
  <si>
    <t>ieee80211_add_assoc_resp_ies</t>
  </si>
  <si>
    <t>ieee80211_add_assoc_req_ies</t>
  </si>
  <si>
    <t>ieee80211_add_probe_req_ies</t>
  </si>
  <si>
    <t>ieee80211_add_wme_param</t>
  </si>
  <si>
    <t>ieee80211_add_csa</t>
  </si>
  <si>
    <t>ieee80211_add_extcap</t>
  </si>
  <si>
    <t>ieee80211_vnd_ie_set</t>
  </si>
  <si>
    <t>ieee80211_vnd_lora_ie_size</t>
  </si>
  <si>
    <t>ieee80211_vnd_lora_ie_set</t>
  </si>
  <si>
    <t>ieee80211_setup_robust_mgmtframe</t>
  </si>
  <si>
    <t>ieee80211_mgmt_output</t>
  </si>
  <si>
    <t>ieee80211_getcapinfo</t>
  </si>
  <si>
    <t>ieee80211_assoc_req_construct</t>
  </si>
  <si>
    <t>ieee80211_assoc_resp_construct</t>
  </si>
  <si>
    <t>ieee80211_auth_construct</t>
  </si>
  <si>
    <t>ieee80211_get_robustmgtframe</t>
  </si>
  <si>
    <t>ieee80211_deauth_construct</t>
  </si>
  <si>
    <t>ieee80211_disassoc_construct</t>
  </si>
  <si>
    <t>ieee80211_output</t>
  </si>
  <si>
    <t>ieee80211_amsdu_send_check</t>
  </si>
  <si>
    <t>ieee80211_amsdu_encap_check</t>
  </si>
  <si>
    <t>ieee80211_encap_amsdu</t>
  </si>
  <si>
    <t>ieee80211_alloc_proberesp</t>
  </si>
  <si>
    <t>ieee80211_alloc_deauth</t>
  </si>
  <si>
    <t>ieee80211_output_raw_process</t>
  </si>
  <si>
    <t>ieee80211_beacon_construct</t>
  </si>
  <si>
    <t>ieee80211_send_nulldata</t>
  </si>
  <si>
    <t>ieee80211_send_probereq</t>
  </si>
  <si>
    <t>ieee80211_send_mgmt</t>
  </si>
  <si>
    <t>ieee80211_send_proberesp</t>
  </si>
  <si>
    <t>ieee80211_send_deauth_no_bss</t>
  </si>
  <si>
    <t>ieee80211_beacon_alloc</t>
  </si>
  <si>
    <t>ieee80211_encap_null_data</t>
  </si>
  <si>
    <t>ieee80211_pm_tx_null_process</t>
  </si>
  <si>
    <t>ieee80211_phy.o</t>
  </si>
  <si>
    <t>ieee80211_phy_deinit</t>
  </si>
  <si>
    <t>ieee80211_phy_type_get</t>
  </si>
  <si>
    <t>ieee80211_phy_mode_show</t>
  </si>
  <si>
    <t>ieee80211_setup_ratetable</t>
  </si>
  <si>
    <t>ieee80211_phy_init</t>
  </si>
  <si>
    <t>ieee80211_power.o</t>
  </si>
  <si>
    <t>ieee80211_psq_init</t>
  </si>
  <si>
    <t>ieee80211_gpsq_init</t>
  </si>
  <si>
    <t>ieee80211_psq_find_max_bss</t>
  </si>
  <si>
    <t>ieee80211_set_tim</t>
  </si>
  <si>
    <t>ieee80211_psq_take_head</t>
  </si>
  <si>
    <t>ieee80211_psq_drop_one_pkt</t>
  </si>
  <si>
    <t>ieee80211_psq_send_one_pkt</t>
  </si>
  <si>
    <t>ieee80211_psq_is_buff_pkt</t>
  </si>
  <si>
    <t>ieee80211_pwrsave</t>
  </si>
  <si>
    <t>pwrsave_flushq</t>
  </si>
  <si>
    <t>ieee80211_node_pwrsave</t>
  </si>
  <si>
    <t>ieee80211_pwrsave_node_cleanup</t>
  </si>
  <si>
    <t>ieee80211_pwrsave_txcb</t>
  </si>
  <si>
    <t>ieee80211_is_bufferable_mmpdu</t>
  </si>
  <si>
    <t>ieee80211_proto.o</t>
  </si>
  <si>
    <t>ieee80211_proto_attach</t>
  </si>
  <si>
    <t>ieee80211_gettid</t>
  </si>
  <si>
    <t>ieee80211_set_shortslottime</t>
  </si>
  <si>
    <t>ieee80211_wme_updateparams</t>
  </si>
  <si>
    <t>ieee80211_mlme_connect_bss</t>
  </si>
  <si>
    <t>ieee80211_reg_db.o</t>
  </si>
  <si>
    <t>get_country_chan_info</t>
  </si>
  <si>
    <t>ieee80211_is_40mhz_valid_bw</t>
  </si>
  <si>
    <t>ieee80211_regdomain.o</t>
  </si>
  <si>
    <t>ieee80211_regdomain_get_country</t>
  </si>
  <si>
    <t>ieee80211_update_phy_country</t>
  </si>
  <si>
    <t>ieee80211_regdomain_update</t>
  </si>
  <si>
    <t>ieee80211_regdomain_update_in_scan</t>
  </si>
  <si>
    <t>ieee80211_regdomain_update_in_connect</t>
  </si>
  <si>
    <t>ieee80211_add_countryie</t>
  </si>
  <si>
    <t>ieee80211_regdomain_max_chan</t>
  </si>
  <si>
    <t>ieee80211_regdomain_ap_max_chan</t>
  </si>
  <si>
    <t>ieee80211_regdomain_min_chan</t>
  </si>
  <si>
    <t>ieee80211_regdomain_ap_min_chan</t>
  </si>
  <si>
    <t>ieee80211_regdomain_chan_in_range</t>
  </si>
  <si>
    <t>ieee80211_regdomain_is_active_scan</t>
  </si>
  <si>
    <t>ieee80211_rfid.o</t>
  </si>
  <si>
    <t>ieee80211_rfid_locp_recv_reset</t>
  </si>
  <si>
    <t>ieee80211_rfid_locp_recv</t>
  </si>
  <si>
    <t>ieee80211_scan_5g.o</t>
  </si>
  <si>
    <t>ieee80211_scan.o</t>
  </si>
  <si>
    <t>scan_enter_oper_channel</t>
  </si>
  <si>
    <t>scan_inter_channel_timeout</t>
  </si>
  <si>
    <t>scan_op_start</t>
  </si>
  <si>
    <t>sta_update_owe_bssid.isra.0</t>
  </si>
  <si>
    <t>scan_set_global_scan_times.constprop.13</t>
  </si>
  <si>
    <t>ieee80211_scan_deattach</t>
  </si>
  <si>
    <t>scan_reset_default_app_params</t>
  </si>
  <si>
    <t>ieee80211_scan_attach</t>
  </si>
  <si>
    <t>scan_flush_all_tx_buf</t>
  </si>
  <si>
    <t>scan_cancel</t>
  </si>
  <si>
    <t>scan_remove_bssid</t>
  </si>
  <si>
    <t>scan_hidden_ssid</t>
  </si>
  <si>
    <t>scan_set_act_duration</t>
  </si>
  <si>
    <t>scan_set_pas_duration</t>
  </si>
  <si>
    <t>scan_add_probe_ssid</t>
  </si>
  <si>
    <t>scan_remove_probe_ssid</t>
  </si>
  <si>
    <t>scan_prefer_chan</t>
  </si>
  <si>
    <t>scan_update_scan_history</t>
  </si>
  <si>
    <t>scan_build_chan_list</t>
  </si>
  <si>
    <t>scan_set_desChan</t>
  </si>
  <si>
    <t>scan_get_type</t>
  </si>
  <si>
    <t>scan_check_hidden</t>
  </si>
  <si>
    <t>scan_add_ssid_do.isra.6</t>
  </si>
  <si>
    <t>scan_add_ssid.isra.7</t>
  </si>
  <si>
    <t>scan_reset_cipher_and_akm</t>
  </si>
  <si>
    <t>scan_profile_check</t>
  </si>
  <si>
    <t>free_bss_info</t>
  </si>
  <si>
    <t>clear_bss_queue</t>
  </si>
  <si>
    <t>scan_done</t>
  </si>
  <si>
    <t>scan_next_channel</t>
  </si>
  <si>
    <t>scan_enter_oper_channel_process</t>
  </si>
  <si>
    <t>scan_inter_channel_timeout_process</t>
  </si>
  <si>
    <t>scan_op_end</t>
  </si>
  <si>
    <t>scan_start</t>
  </si>
  <si>
    <t>check_bss_queue</t>
  </si>
  <si>
    <t>scan_parse_ht2040_coex</t>
  </si>
  <si>
    <t>scan_fill_wps_scan_ie</t>
  </si>
  <si>
    <t>scan_get_owe_channel_info</t>
  </si>
  <si>
    <t>scan_validate_owe_scenarios</t>
  </si>
  <si>
    <t>scan_parse_beacon</t>
  </si>
  <si>
    <t>belongs to ieee80211_hostap.o but we cannot distinguish between the same name in this linker script</t>
  </si>
  <si>
    <t>linked above</t>
  </si>
  <si>
    <t>sta_eapol_txdone_cb</t>
  </si>
  <si>
    <t>sta_assoc_comeback</t>
  </si>
  <si>
    <t>sta_try_sa_query</t>
  </si>
  <si>
    <t>sta_sa_query_timeout</t>
  </si>
  <si>
    <t>wifi_sta_reg_eapol_txdone_cb</t>
  </si>
  <si>
    <t>wifi_sta_reg_rxcb</t>
  </si>
  <si>
    <t>ieee80211_wme_standard_ac_to_esp_ac</t>
  </si>
  <si>
    <t>sta_michael_mic_failure</t>
  </si>
  <si>
    <t>ieee80211_parse_wmeparams</t>
  </si>
  <si>
    <t>sta_rx_csa</t>
  </si>
  <si>
    <t>reset_cs_thres</t>
  </si>
  <si>
    <t>ieee80211_parse_obss_scan_param</t>
  </si>
  <si>
    <t>sta_recv_ctl</t>
  </si>
  <si>
    <t>wifi_station_start</t>
  </si>
  <si>
    <t>wifi_station_stop</t>
  </si>
  <si>
    <t>sta_bip_check</t>
  </si>
  <si>
    <t>sta_is_wpa3_enabled</t>
  </si>
  <si>
    <t>sta_is_11r_enabled</t>
  </si>
  <si>
    <t>sta_is_wifi_ent_enabled</t>
  </si>
  <si>
    <t>sta_get_owe_data</t>
  </si>
  <si>
    <t>sta_update_power_off_reset_flag</t>
  </si>
  <si>
    <t>ieee80211_sta_new_state</t>
  </si>
  <si>
    <t>sta_auth_ft</t>
  </si>
  <si>
    <t>sta_auth_open</t>
  </si>
  <si>
    <t>sta_auth_shared</t>
  </si>
  <si>
    <t>sta_auth_sae</t>
  </si>
  <si>
    <t>sta_retry_assoc</t>
  </si>
  <si>
    <t>sta_recv_assoc</t>
  </si>
  <si>
    <t>sta_sa_query_process_timeout</t>
  </si>
  <si>
    <t>sta_try_sa_query_process</t>
  </si>
  <si>
    <t>sta_recv_mgmt</t>
  </si>
  <si>
    <t>ieee80211_supplicant.o</t>
  </si>
  <si>
    <t>wifi_sta_connect_internal_process</t>
  </si>
  <si>
    <t>esp_wifi_get_sta_hw_key_idx_internal</t>
  </si>
  <si>
    <t>esp_wifi_ap_get_prof_pmk_internal</t>
  </si>
  <si>
    <t>esp_wifi_sta_update_ap_info_internal</t>
  </si>
  <si>
    <t>esp_wifi_sta_get_ap_info_prof_pmk_internal</t>
  </si>
  <si>
    <t>esp_wifi_ap_get_prof_ap_ssid_internal</t>
  </si>
  <si>
    <t>esp_wifi_sta_get_prof_ssid_internal</t>
  </si>
  <si>
    <t>esp_wifi_ap_get_prof_authmode_internal</t>
  </si>
  <si>
    <t>esp_wifi_ap_get_max_sta_conn</t>
  </si>
  <si>
    <t>esp_wifi_ap_get_prof_pairwise_cipher_internal</t>
  </si>
  <si>
    <t>esp_wifi_sta_get_prof_authmode_internal</t>
  </si>
  <si>
    <t>esp_wifi_get_pmf_config_internal</t>
  </si>
  <si>
    <t>esp_wifi_get_config_sae_pwe_h2e_internal</t>
  </si>
  <si>
    <t>esp_wifi_sta_get_rsnxe</t>
  </si>
  <si>
    <t>esp_wifi_sta_disable_wpa2_authmode_internal</t>
  </si>
  <si>
    <t>esp_wifi_sta_disable_sae_pk_internal</t>
  </si>
  <si>
    <t>esp_wifi_enable_sae_pk_only_mode_internal</t>
  </si>
  <si>
    <t>esp_wifi_sta_disable_owe_trans_internal</t>
  </si>
  <si>
    <t>esp_wifi_ap_is_sta_sae_reauth_node</t>
  </si>
  <si>
    <t>esp_wifi_sta_is_ap_notify_completed_rsne_internal</t>
  </si>
  <si>
    <t>esp_wifi_ap_get_prof_password_internal</t>
  </si>
  <si>
    <t>wifi_sta_get_prof_password</t>
  </si>
  <si>
    <t>esp_wifi_sta_get_prof_password_internal</t>
  </si>
  <si>
    <t>esp_wifi_sta_get_reset_param_internal</t>
  </si>
  <si>
    <t>esp_wifi_sta_set_reset_param_internal</t>
  </si>
  <si>
    <t>esp_wifi_sta_prof_is_wpa_internal</t>
  </si>
  <si>
    <t>esp_wifi_sta_prof_is_wpa2_internal</t>
  </si>
  <si>
    <t>esp_wifi_sta_prof_is_wapi_internal</t>
  </si>
  <si>
    <t>esp_wifi_sta_prof_is_rsn_internal</t>
  </si>
  <si>
    <t>esp_wifi_sta_get_pairwise_cipher_internal</t>
  </si>
  <si>
    <t>esp_wifi_sta_get_group_cipher_internal</t>
  </si>
  <si>
    <t>ieee80211_get_key</t>
  </si>
  <si>
    <t>ieee80211_set_key</t>
  </si>
  <si>
    <t>ieee80211_set_sta_gtk_index</t>
  </si>
  <si>
    <t>ieee80211_set_gtk</t>
  </si>
  <si>
    <t>ieee80211_get_ptk</t>
  </si>
  <si>
    <t>ieee80211_get_spp</t>
  </si>
  <si>
    <t>esp_wifi_wpa_ptk_init_done_internal</t>
  </si>
  <si>
    <t>esp_wifi_auth_done_internal</t>
  </si>
  <si>
    <t>esp_wifi_unregister_wpa_cb_internal</t>
  </si>
  <si>
    <t>esp_wifi_register_wpa_cb_internal</t>
  </si>
  <si>
    <t>ieee80211_sta_is_connected</t>
  </si>
  <si>
    <t>esp_wifi_get_hostap_private_internal</t>
  </si>
  <si>
    <t>esp_wifi_deauthenticate_internal</t>
  </si>
  <si>
    <t>esp_wifi_get_spp_attrubute_internal</t>
  </si>
  <si>
    <t>wifi_set_rx_policy</t>
  </si>
  <si>
    <t>esp_wifi_register_eapol_txdonecb_internal</t>
  </si>
  <si>
    <t>esp_wifi_get_macaddr_internal</t>
  </si>
  <si>
    <t>esp_wifi_ap_deauth_internal</t>
  </si>
  <si>
    <t>wifi_init_key</t>
  </si>
  <si>
    <t>esp_wifi_set_ap_key_internal</t>
  </si>
  <si>
    <t>ppInstallKey</t>
  </si>
  <si>
    <t>esp_wifi_set_sta_key_internal</t>
  </si>
  <si>
    <t>esp_wifi_get_sta_key_internal</t>
  </si>
  <si>
    <t>esp_wifi_set_appie_internal</t>
  </si>
  <si>
    <t>esp_wifi_unset_appie_internal</t>
  </si>
  <si>
    <t>esp_wifi_sta_pmf_enabled</t>
  </si>
  <si>
    <t>esp_wifi_sta_get_mgmt_group_cipher</t>
  </si>
  <si>
    <t>esp_wifi_set_igtk_internal</t>
  </si>
  <si>
    <t>ieee80211w_get_active_igtk_key_id</t>
  </si>
  <si>
    <t>ieee80211w_get_igtk_from_keyidx</t>
  </si>
  <si>
    <t>esp_wifi_skip_supp_pmkcaching</t>
  </si>
  <si>
    <t>esp_wifi_register_mgmt_frame_internal</t>
  </si>
  <si>
    <t>esp_wifi_send_mgmt_frm_internal</t>
  </si>
  <si>
    <t>esp_wifi_sta_connect_internal</t>
  </si>
  <si>
    <t>ieee80211_timer.o</t>
  </si>
  <si>
    <t>ieee80211_ampdu_age_handle</t>
  </si>
  <si>
    <t>ieee80211_addba</t>
  </si>
  <si>
    <t>ieee80211_ftm_sess_timeout</t>
  </si>
  <si>
    <t>ieee80211_ftm_req_timeout</t>
  </si>
  <si>
    <t>ieee80211_tx_ftm_msmt</t>
  </si>
  <si>
    <t>ieee80211_send_ftmr</t>
  </si>
  <si>
    <t>ieee80211_ap_try_sa_query</t>
  </si>
  <si>
    <t>ieee80211_ap_sa_query_timeout</t>
  </si>
  <si>
    <t>ieee80211_sta_retry_assoc</t>
  </si>
  <si>
    <t>ieee80211_sta_sa_query_timeout</t>
  </si>
  <si>
    <t>ieee80211_sta_try_sa_query</t>
  </si>
  <si>
    <t>ieee80211_assoc</t>
  </si>
  <si>
    <t>ieee80211_auth</t>
  </si>
  <si>
    <t>ieee80211_chm_dwell</t>
  </si>
  <si>
    <t>ieee80211_handshake</t>
  </si>
  <si>
    <t>ieee80211_beacon</t>
  </si>
  <si>
    <t>ieee80211_probe_send</t>
  </si>
  <si>
    <t>ieee80211_csa</t>
  </si>
  <si>
    <t>ieee80211_scan_enter_op_chan</t>
  </si>
  <si>
    <t>ieee80211_scan_inter_chan</t>
  </si>
  <si>
    <t>ieee80211_timer_connect</t>
  </si>
  <si>
    <t>ieee80211_hostap_handle</t>
  </si>
  <si>
    <t>ieee80211_send_beacon</t>
  </si>
  <si>
    <t>ieee80211_register_ftm_timer</t>
  </si>
  <si>
    <t>ieee80211_register_hostap_timer</t>
  </si>
  <si>
    <t>ieee80211_timer_do_process</t>
  </si>
  <si>
    <t>ieee80211_timer_process</t>
  </si>
  <si>
    <t>ieee80211_twt.o</t>
  </si>
  <si>
    <t>ieee80211_vht.o</t>
  </si>
  <si>
    <t>if_eagle.o</t>
  </si>
  <si>
    <t>chm_end_op_timeout</t>
  </si>
  <si>
    <t>chm_phy_change_channel.constprop.2</t>
  </si>
  <si>
    <t>chm_mhz2num</t>
  </si>
  <si>
    <t>chm_deinit</t>
  </si>
  <si>
    <t>chm_release_lock</t>
  </si>
  <si>
    <t>chm_end_op</t>
  </si>
  <si>
    <t>chm_end_op_timeout_process</t>
  </si>
  <si>
    <t>chm_cancel_op</t>
  </si>
  <si>
    <t>chm_acquire_lock</t>
  </si>
  <si>
    <t>chm_get_current_channel</t>
  </si>
  <si>
    <t>chm_get_home_channel</t>
  </si>
  <si>
    <t>chm_set_home_channel</t>
  </si>
  <si>
    <t>chm_get_chan_info</t>
  </si>
  <si>
    <t>chm_set_current_channel</t>
  </si>
  <si>
    <t>chm_init</t>
  </si>
  <si>
    <t>chm_change_channel</t>
  </si>
  <si>
    <t>chm_start_op</t>
  </si>
  <si>
    <t>chm_return_home_channel</t>
  </si>
  <si>
    <t>cnx_sta_connect_led_timer_cb</t>
  </si>
  <si>
    <t>cnx_cal_rc_util</t>
  </si>
  <si>
    <t>cnx_get_next_rc</t>
  </si>
  <si>
    <t>cnx_traverse_rc_lis_done</t>
  </si>
  <si>
    <t>cnx_connect_timeout</t>
  </si>
  <si>
    <t>cnx_handshake_timeout</t>
  </si>
  <si>
    <t>cnx_csa_fn</t>
  </si>
  <si>
    <t>mgd_probe_send_timeout</t>
  </si>
  <si>
    <t>cnx_beacon_timeout</t>
  </si>
  <si>
    <t>cnx_connect_op</t>
  </si>
  <si>
    <t>cnx_connect_to_bss</t>
  </si>
  <si>
    <t>cnx_probe_rc</t>
  </si>
  <si>
    <t>cnx_sta_pm.part.12</t>
  </si>
  <si>
    <t>ieee80211_cnx_attach</t>
  </si>
  <si>
    <t>_cnx_start_connect_without_scan</t>
  </si>
  <si>
    <t>cnx_can_do_obss_scan</t>
  </si>
  <si>
    <t>cnx_obss_scan</t>
  </si>
  <si>
    <t>cnx_obss_scan_timeout</t>
  </si>
  <si>
    <t>cnx_auth_timeout</t>
  </si>
  <si>
    <t>cnx_assoc_timeout</t>
  </si>
  <si>
    <t>wl_is_ap_no_lr</t>
  </si>
  <si>
    <t>wl_clear_ap_no_lr</t>
  </si>
  <si>
    <t>cnx_csa_fn_process</t>
  </si>
  <si>
    <t>cnx_validate_owe_bss</t>
  </si>
  <si>
    <t>cnx_bss_init</t>
  </si>
  <si>
    <t>cnx_get_authtype_strength</t>
  </si>
  <si>
    <t>cnx_check_bssid_in_blacklist</t>
  </si>
  <si>
    <t>cnx_remove_from_blacklist</t>
  </si>
  <si>
    <t>cnx_add_to_blacklist</t>
  </si>
  <si>
    <t>cnx_clear_blacklist</t>
  </si>
  <si>
    <t>cnx_choose_rc</t>
  </si>
  <si>
    <t>cnx_rc_search</t>
  </si>
  <si>
    <t>cnx_do_handoff_internal</t>
  </si>
  <si>
    <t>cnx_add_rc</t>
  </si>
  <si>
    <t>cnx_remove_all_rc</t>
  </si>
  <si>
    <t>cnx_do_handoff</t>
  </si>
  <si>
    <t>cnx_connect_next_ap</t>
  </si>
  <si>
    <t>cnx_start_handoff_cb</t>
  </si>
  <si>
    <t>cnx_remove_rc</t>
  </si>
  <si>
    <t>cnx_sta_connect_cmd</t>
  </si>
  <si>
    <t>cnx_connect_timeout_process</t>
  </si>
  <si>
    <t>cnx_auth_timeout_process</t>
  </si>
  <si>
    <t>cnx_assoc_timeout_process</t>
  </si>
  <si>
    <t>cnx_handshake_timeout_process</t>
  </si>
  <si>
    <t>cnx_bss_alloc</t>
  </si>
  <si>
    <t>cnx_remove_rc_except</t>
  </si>
  <si>
    <t>cnx_rc_update_rssi</t>
  </si>
  <si>
    <t>cnx_rc_update_state_metric</t>
  </si>
  <si>
    <t>cnx_probe_rc_tx_cb</t>
  </si>
  <si>
    <t>cnx_rc_update_age</t>
  </si>
  <si>
    <t>cnx_update_bss</t>
  </si>
  <si>
    <t>cnx_update_bss_more</t>
  </si>
  <si>
    <t>send_ap_probe</t>
  </si>
  <si>
    <t>cnx_beacon_timeout_process</t>
  </si>
  <si>
    <t>mgd_probe_send_timeout_process</t>
  </si>
  <si>
    <t>cnx_node_alloc</t>
  </si>
  <si>
    <t>cnx_node_remove</t>
  </si>
  <si>
    <t>cnx_is_any_node_connecting</t>
  </si>
  <si>
    <t>cnx_sta_pm</t>
  </si>
  <si>
    <t>ic_set_sta</t>
  </si>
  <si>
    <t>cnx_sta_leave</t>
  </si>
  <si>
    <t>cnx_sta_associated</t>
  </si>
  <si>
    <t>cnx_node_leave</t>
  </si>
  <si>
    <t>cnx_node_join</t>
  </si>
  <si>
    <t>cnx_start_obss_scan</t>
  </si>
  <si>
    <t>cnx_obss_scan_done_cb</t>
  </si>
  <si>
    <t>cnx_auth_done</t>
  </si>
  <si>
    <t>wl_offchan.o</t>
  </si>
  <si>
    <t>offchan_in_progress</t>
  </si>
  <si>
    <t>offchan_recv_action</t>
  </si>
  <si>
    <t>offchan_send_action_tx_status</t>
  </si>
  <si>
    <t>test.o</t>
  </si>
  <si>
    <t>test_rx_bfee.o</t>
  </si>
  <si>
    <t>test_rx_htc.o</t>
  </si>
  <si>
    <t>test_rx_sniffer.o</t>
  </si>
  <si>
    <t>test_rx_trig.o</t>
  </si>
  <si>
    <t>test_tx_mbssid.o</t>
  </si>
  <si>
    <t>os_xtensa.c.obj</t>
  </si>
  <si>
    <t>aes-gcm.c.obj</t>
  </si>
  <si>
    <t>WPA_GET_BE32</t>
  </si>
  <si>
    <t>ccmp_aad_nonce</t>
  </si>
  <si>
    <t>os_get_time</t>
  </si>
  <si>
    <t>os_get_random</t>
  </si>
  <si>
    <t>os_sleep</t>
  </si>
  <si>
    <t>eloop_run_timer</t>
  </si>
  <si>
    <t>eloop.c.obj</t>
  </si>
  <si>
    <t>eloop_remove_timeout</t>
  </si>
  <si>
    <t>os_timer_disarm.constprop.0</t>
  </si>
  <si>
    <t>eloop_init</t>
  </si>
  <si>
    <t>eloop_register_timeout</t>
  </si>
  <si>
    <t>eloop_cancel_timeout</t>
  </si>
  <si>
    <t>eloop_run</t>
  </si>
  <si>
    <t>eloop_run_wrapper</t>
  </si>
  <si>
    <t>ap_config.c.obj</t>
  </si>
  <si>
    <t>hostapd_setup_wpa_psk</t>
  </si>
  <si>
    <t>hostapd_get_psk</t>
  </si>
  <si>
    <t>hostapd_config_clear_wpa_psk</t>
  </si>
  <si>
    <t>hostapd_config_free_bss</t>
  </si>
  <si>
    <t>ieee802_1x.c.obj</t>
  </si>
  <si>
    <t>wpa_auth.c.obj</t>
  </si>
  <si>
    <t>wpa_auth_pmksa_free_cb</t>
  </si>
  <si>
    <t>wpa_free_sta_sm</t>
  </si>
  <si>
    <t>wpa_group_init_gmk_and_counter</t>
  </si>
  <si>
    <t>wpa_gmk_to_gtk</t>
  </si>
  <si>
    <t>wpa_replay_counter_valid</t>
  </si>
  <si>
    <t>wpa_replay_counter_mark_invalid</t>
  </si>
  <si>
    <t>wpa_verify_key_mic</t>
  </si>
  <si>
    <t>ieee80211w_kde_add</t>
  </si>
  <si>
    <t>resend_eapol_handle</t>
  </si>
  <si>
    <t>wpa_auth_set_key.part.0</t>
  </si>
  <si>
    <t>sm_WPA_PTK_DISCONNECT_Enter.constprop.0</t>
  </si>
  <si>
    <t>wpa_gtk_update.isra.0</t>
  </si>
  <si>
    <t>wpa_group_gtk_init</t>
  </si>
  <si>
    <t>wpa_auth_get_psk.isra.0</t>
  </si>
  <si>
    <t>sm_WPA_PTK_PTKCALCNEGOTIATING_Enter.constprop.0</t>
  </si>
  <si>
    <t>wpa_group_config_group_keys</t>
  </si>
  <si>
    <t>sm_WPA_PTK_AUTHENTICATION2_Enter.constprop.0</t>
  </si>
  <si>
    <t>wpa_group_sm_step.part.0</t>
  </si>
  <si>
    <t>wpa_rekey_gtk</t>
  </si>
  <si>
    <t>wpa_init</t>
  </si>
  <si>
    <t>wpa_auth_sta_init</t>
  </si>
  <si>
    <t>wpa_auth_sta_deinit</t>
  </si>
  <si>
    <t>__wpa_send_eapol</t>
  </si>
  <si>
    <t>wpa_send_eapol</t>
  </si>
  <si>
    <t>sm_WPA_PTK_PTKSTART_Enter.constprop.0</t>
  </si>
  <si>
    <t>sm_WPA_PTK_PTKINITNEGOTIATING_Enter.constprop.0</t>
  </si>
  <si>
    <t>sm_WPA_PTK_GROUP_REKEYNEGOTIATING_Enter.constprop.0</t>
  </si>
  <si>
    <t>wpa_remove_ptk</t>
  </si>
  <si>
    <t>sm_WPA_PTK_INITIALIZE_Enter.constprop.0</t>
  </si>
  <si>
    <t>wpa_sm_step</t>
  </si>
  <si>
    <t>wpa_rekey_ptk</t>
  </si>
  <si>
    <t>wpa_auth_sta_associated</t>
  </si>
  <si>
    <t>wpa_receive</t>
  </si>
  <si>
    <t>hostap_eapol_resend_process</t>
  </si>
  <si>
    <t>wpa_deinit</t>
  </si>
  <si>
    <t>wpa_ap_join</t>
  </si>
  <si>
    <t>wpa_ap_remove</t>
  </si>
  <si>
    <t>wpa_write_rsn_ie</t>
  </si>
  <si>
    <t>wpa_write_rsnxe</t>
  </si>
  <si>
    <t>wpa_auth_gen_wpa_ie</t>
  </si>
  <si>
    <t>wpa_add_kde</t>
  </si>
  <si>
    <t>wpa_validate_wpa_ie</t>
  </si>
  <si>
    <t>wpa_parse_kde_ies</t>
  </si>
  <si>
    <t>wpa_auth_uses_mfp</t>
  </si>
  <si>
    <t>wpa_auth_ie.c.obj</t>
  </si>
  <si>
    <t>pmksa_cache_auth.c.obj</t>
  </si>
  <si>
    <t>_pmksa_cache_free_entry</t>
  </si>
  <si>
    <t>pmksa_cache_auth_deinit</t>
  </si>
  <si>
    <t>pmksa_cache_auth_get</t>
  </si>
  <si>
    <t>pmksa_cache_auth_init</t>
  </si>
  <si>
    <t>sta_info.c.obj</t>
  </si>
  <si>
    <t>ap_get_sta</t>
  </si>
  <si>
    <t>ap_sta_hash_add</t>
  </si>
  <si>
    <t>ap_free_sta</t>
  </si>
  <si>
    <t>ap_sta_add</t>
  </si>
  <si>
    <t>ieee802_11.c.obj</t>
  </si>
  <si>
    <t>wpa_res_to_status_code</t>
  </si>
  <si>
    <t xml:space="preserve">comeback_token.c.obj </t>
  </si>
  <si>
    <t>sae.c.obj</t>
  </si>
  <si>
    <t>dragonfly.c.obj</t>
  </si>
  <si>
    <t>wpa_common.c.obj</t>
  </si>
  <si>
    <t>rsn_selector_to_bitfield</t>
  </si>
  <si>
    <t>wpa_selector_to_bitfield</t>
  </si>
  <si>
    <t>wpa_mic_len</t>
  </si>
  <si>
    <t>wpa_cipher_valid_mgmt_group</t>
  </si>
  <si>
    <t>wpa_parse_wpa_ie_rsnxe</t>
  </si>
  <si>
    <t>wpa_parse_wpa_ie_rsn</t>
  </si>
  <si>
    <t>wpa_parse_wpa_ie_wpa</t>
  </si>
  <si>
    <t>wpa_use_akm_defined</t>
  </si>
  <si>
    <t>wpa_use_aes_key_wrap</t>
  </si>
  <si>
    <t>wpa_eapol_key_mic</t>
  </si>
  <si>
    <t>wpa_compare_rsn_ie</t>
  </si>
  <si>
    <t>rsn_pmkid</t>
  </si>
  <si>
    <t>wpa_cipher_key_len</t>
  </si>
  <si>
    <t>wpa_pmk_to_ptk</t>
  </si>
  <si>
    <t>wpa_cipher_to_alg</t>
  </si>
  <si>
    <t>wpa_cipher_valid_pairwise</t>
  </si>
  <si>
    <t>wpa_cipher_to_suite</t>
  </si>
  <si>
    <t>rsn_cipher_put_suites</t>
  </si>
  <si>
    <t>wpa_cipher_put_suites</t>
  </si>
  <si>
    <t>bitfield.c.obj</t>
  </si>
  <si>
    <t>aes-siv.c.obj</t>
  </si>
  <si>
    <t>sha256-kdf.c.obj</t>
  </si>
  <si>
    <t>forced_memzero</t>
  </si>
  <si>
    <t>ccmp.c.obj</t>
  </si>
  <si>
    <t>ccmp_decrypt</t>
  </si>
  <si>
    <t>ccmp_encrypt</t>
  </si>
  <si>
    <t>WPA_PUT_BE32</t>
  </si>
  <si>
    <t>WPA_PUT_BE64</t>
  </si>
  <si>
    <t>xor_block</t>
  </si>
  <si>
    <t>shift_right_block</t>
  </si>
  <si>
    <t>gf_mult</t>
  </si>
  <si>
    <t>aes_gcm_init_hash_subkey</t>
  </si>
  <si>
    <t>ghash</t>
  </si>
  <si>
    <t>aes_gcm_ghash</t>
  </si>
  <si>
    <t>aes_gctr.part.0</t>
  </si>
  <si>
    <t>aes_gcm_prepare_j0</t>
  </si>
  <si>
    <t>aes_gcm_gctr.part.0</t>
  </si>
  <si>
    <t>aes_gcm_ae</t>
  </si>
  <si>
    <t>aes_gmac</t>
  </si>
  <si>
    <t>crypto_ops.c.obj</t>
  </si>
  <si>
    <t>esp_supp_crc32</t>
  </si>
  <si>
    <t>esp_aes_gmac</t>
  </si>
  <si>
    <t>esp_aes_decrypt</t>
  </si>
  <si>
    <t>esp_aes_encrypt</t>
  </si>
  <si>
    <t>esp_aes_unwrap</t>
  </si>
  <si>
    <t>esp_aes_wrap</t>
  </si>
  <si>
    <t>dh_group5.c.obj</t>
  </si>
  <si>
    <t>dh_groups.c.obj</t>
  </si>
  <si>
    <t>ms_funcs.c.obj</t>
  </si>
  <si>
    <t>sha1-tlsprf.c.obj</t>
  </si>
  <si>
    <t>sha256-tlsprf.c.obj</t>
  </si>
  <si>
    <t>sha384-tlsprf.c.obj</t>
  </si>
  <si>
    <t>sha256-prf.c.obj</t>
  </si>
  <si>
    <t>sha256_prf_bits</t>
  </si>
  <si>
    <t>sha256_prf</t>
  </si>
  <si>
    <t>sha1-prf.c.obj</t>
  </si>
  <si>
    <t>sha1_prf</t>
  </si>
  <si>
    <t>sha384-prf.c.obj</t>
  </si>
  <si>
    <t>md4-internal.c.obj</t>
  </si>
  <si>
    <t>sha1-tprf.c.obj</t>
  </si>
  <si>
    <t>eap_wsc_common.c.obj</t>
  </si>
  <si>
    <t>ieee802_11_common.c.obj</t>
  </si>
  <si>
    <t>chap.c.obj</t>
  </si>
  <si>
    <t>eap.c.obj</t>
  </si>
  <si>
    <t>eap_common.c.obj</t>
  </si>
  <si>
    <t>eap_mschapv2.c.obj</t>
  </si>
  <si>
    <t>eap_peap.c.obj</t>
  </si>
  <si>
    <t>eap_peap_common.c.obj</t>
  </si>
  <si>
    <t>eap_tls.c.obj</t>
  </si>
  <si>
    <t>eap_tls_common.c.obj</t>
  </si>
  <si>
    <t>eap_ttls.c.obj</t>
  </si>
  <si>
    <t>mschapv2.c.obj</t>
  </si>
  <si>
    <t>eap_fast.c.obj</t>
  </si>
  <si>
    <t>eap_fast_common.c.obj</t>
  </si>
  <si>
    <t>eap_fast_pac.c.obj</t>
  </si>
  <si>
    <t>pmksa_cache.c.obj</t>
  </si>
  <si>
    <t>hex2num</t>
  </si>
  <si>
    <t>hex2byte</t>
  </si>
  <si>
    <t>hexstr2bin</t>
  </si>
  <si>
    <t>__hide_aliasing_typecast</t>
  </si>
  <si>
    <t>pmksa_cache_set_expiration</t>
  </si>
  <si>
    <t>pmksa_cache_free_entry</t>
  </si>
  <si>
    <t>pmksa_cache_expire</t>
  </si>
  <si>
    <t>pmksa_cache_flush</t>
  </si>
  <si>
    <t>pmksa_cache_add_entry</t>
  </si>
  <si>
    <t>pmksa_cache_add</t>
  </si>
  <si>
    <t>pmksa_cache_deinit</t>
  </si>
  <si>
    <t>pmksa_cache_get</t>
  </si>
  <si>
    <t>pmksa_cache_get_opportunistic</t>
  </si>
  <si>
    <t>pmksa_cache_clear_current</t>
  </si>
  <si>
    <t>pmksa_cache_set_current</t>
  </si>
  <si>
    <t>pmksa_cache_init</t>
  </si>
  <si>
    <t>wpa.c.obj</t>
  </si>
  <si>
    <t>is_wpa2_enterprise_connection</t>
  </si>
  <si>
    <t>wpa_sm_pmksa_free_cb</t>
  </si>
  <si>
    <t>wpa_sm_set_seq.constprop.0</t>
  </si>
  <si>
    <t>ieee80211w_set_keys.constprop.0</t>
  </si>
  <si>
    <t>cipher_type_map_supp_to_public</t>
  </si>
  <si>
    <t>cipher_type_map_public_to_supp</t>
  </si>
  <si>
    <t>wpa_eapol_key_send</t>
  </si>
  <si>
    <t>wpa_sm_key_request</t>
  </si>
  <si>
    <t>wpa_sm_rekey_ptk</t>
  </si>
  <si>
    <t>wpa_supplicant_send_2_of_4</t>
  </si>
  <si>
    <t>wpa_supplicant_gtk_tx_bit_workaround</t>
  </si>
  <si>
    <t>wpa_supplicant_pairwise_gtk</t>
  </si>
  <si>
    <t>wpa_sm_set_state</t>
  </si>
  <si>
    <t>wpa_supplicant_key_neg_complete</t>
  </si>
  <si>
    <t>wpa_supplicant_stop_countermeasures</t>
  </si>
  <si>
    <t>wpa_sm_set_pmk_from_pmksa</t>
  </si>
  <si>
    <t>wpa_supplicant_process_1_of_4</t>
  </si>
  <si>
    <t>wpa_sm_init</t>
  </si>
  <si>
    <t>wpa_sm_notify_assoc</t>
  </si>
  <si>
    <t>wpa_set_profile</t>
  </si>
  <si>
    <t>wpa_set_passphrase</t>
  </si>
  <si>
    <t>set_assoc_ie</t>
  </si>
  <si>
    <t>wpa_sm_set_key</t>
  </si>
  <si>
    <t>wpa_supplicant_install_gtk.constprop.0</t>
  </si>
  <si>
    <t>wpa_supplicant_install_ptk.constprop.0</t>
  </si>
  <si>
    <t>wpa_sm_rx_eapol</t>
  </si>
  <si>
    <t>wpa_michael_mic_failure</t>
  </si>
  <si>
    <t>eapol_txcb</t>
  </si>
  <si>
    <t>wpa_sta_in_4way_handshake</t>
  </si>
  <si>
    <t>wpa_sta_clear_curr_pmksa</t>
  </si>
  <si>
    <t>wpa_sm_set_ap_rsnxe</t>
  </si>
  <si>
    <t>wpa_sm_set_assoc_rsnxe</t>
  </si>
  <si>
    <t>wpa_set_bss</t>
  </si>
  <si>
    <t>wpa_sm_drop_sa</t>
  </si>
  <si>
    <t>wpa_sm_deinit</t>
  </si>
  <si>
    <t>wpa_sm_notify_disassoc</t>
  </si>
  <si>
    <t>wpa_ie.c.obj</t>
  </si>
  <si>
    <t>wpa_parse_wpa_ie</t>
  </si>
  <si>
    <t>wpa_gen_wpa_ie</t>
  </si>
  <si>
    <t>wpa_gen_rsnxe</t>
  </si>
  <si>
    <t>wpa_supplicant_parse_ies</t>
  </si>
  <si>
    <t>base64.c.obj</t>
  </si>
  <si>
    <t>common.c.obj</t>
  </si>
  <si>
    <t>inc_byte_array</t>
  </si>
  <si>
    <t>wpa_get_ntp_timestamp</t>
  </si>
  <si>
    <t>printf_decode</t>
  </si>
  <si>
    <t>dup_binstr</t>
  </si>
  <si>
    <t>wpa_config_parse_string</t>
  </si>
  <si>
    <t>bin_clear_free</t>
  </si>
  <si>
    <t>os_memdup</t>
  </si>
  <si>
    <t>wpabuf_free</t>
  </si>
  <si>
    <t>eap_client_get_eap_state</t>
  </si>
  <si>
    <t>wpa_ap_get_peer_spp_msg</t>
  </si>
  <si>
    <t>wpa_attach</t>
  </si>
  <si>
    <t>wpa_config_done</t>
  </si>
  <si>
    <t>wpa_ap_get_wpa_ie</t>
  </si>
  <si>
    <t>wpa_deattach</t>
  </si>
  <si>
    <t>wpa_parse_wpa_ie_wrapper</t>
  </si>
  <si>
    <t>hostap_sta_join</t>
  </si>
  <si>
    <t>wpa_sta_disconnected_cb</t>
  </si>
  <si>
    <t>wpa_sta_connected_cb</t>
  </si>
  <si>
    <t>wpa_ap_rx_eapol</t>
  </si>
  <si>
    <t>ext_password.c.obj</t>
  </si>
  <si>
    <t>uuid.c.obj</t>
  </si>
  <si>
    <t xml:space="preserve"> wpabuf.c.obj</t>
  </si>
  <si>
    <t>wpa_debug.c.obj</t>
  </si>
  <si>
    <t>json.c.obj</t>
  </si>
  <si>
    <t>wps.c.obj</t>
  </si>
  <si>
    <t>wps_attr_build.c.obj</t>
  </si>
  <si>
    <t xml:space="preserve">wps_attr_parse.c.obj </t>
  </si>
  <si>
    <t>wps_attr_process.c.obj</t>
  </si>
  <si>
    <t>wps_common.c.obj</t>
  </si>
  <si>
    <t>wps_dev_attr.c.obj</t>
  </si>
  <si>
    <t>wps_enrollee.c.obj</t>
  </si>
  <si>
    <t>esp_eap_client.c.obj</t>
  </si>
  <si>
    <t>esp_wpa2_api_port.c.obj</t>
  </si>
  <si>
    <t>esp_wpa_main.c.obj</t>
  </si>
  <si>
    <t>wpa_install_key</t>
  </si>
  <si>
    <t>wpa_get_key</t>
  </si>
  <si>
    <t>wpa_deauthenticate</t>
  </si>
  <si>
    <t>wpa_config_profile</t>
  </si>
  <si>
    <t>wpa_config_bss</t>
  </si>
  <si>
    <t>wpa_sta_connect</t>
  </si>
  <si>
    <t>wpa_config_assoc_ie</t>
  </si>
  <si>
    <t>wpa_neg_complete</t>
  </si>
  <si>
    <t>esp_supplicant_init</t>
  </si>
  <si>
    <t>wpa_alloc_eapol</t>
  </si>
  <si>
    <t>wpa_free_eapol</t>
  </si>
  <si>
    <t>wpa_ether_send</t>
  </si>
  <si>
    <t>hostapd_send_eapol</t>
  </si>
  <si>
    <t>esp_wpas_glue.c.obj</t>
  </si>
  <si>
    <t>wpa_supplicant_transition_disable</t>
  </si>
  <si>
    <t>wpa_sm_alloc_eapol</t>
  </si>
  <si>
    <t>wpa_sm_free_eapol</t>
  </si>
  <si>
    <t>wpa_sm_deauthenticate</t>
  </si>
  <si>
    <t>wpa_sm_mlme_setprotection</t>
  </si>
  <si>
    <t>wpa_sm_disassociate</t>
  </si>
  <si>
    <t>esp_common.c.obj</t>
  </si>
  <si>
    <t>ieee80211_handle_rx_frm</t>
  </si>
  <si>
    <t>esp_supplicant_common_deinit</t>
  </si>
  <si>
    <t>esp_supplicant_common_init</t>
  </si>
  <si>
    <t>supplicant_sta_conn_handler</t>
  </si>
  <si>
    <t>supplicant_sta_disconn_handler</t>
  </si>
  <si>
    <t>esp_set_scan_ie</t>
  </si>
  <si>
    <t>esp_set_assoc_ie</t>
  </si>
  <si>
    <t>esp_wps.c.obj</t>
  </si>
  <si>
    <t>wps_get_wps_sm_cb</t>
  </si>
  <si>
    <t>esp_wpa3.c.obj</t>
  </si>
  <si>
    <t>esp_owe.c.obj</t>
  </si>
  <si>
    <t>esp_hostap.c.obj</t>
  </si>
  <si>
    <t>hostapd_get_hapd_data</t>
  </si>
  <si>
    <t>hostap_init</t>
  </si>
  <si>
    <t>hostapd_cleanup</t>
  </si>
  <si>
    <t>hostap_deinit</t>
  </si>
  <si>
    <t>esp_wifi_build_rsnxe</t>
  </si>
  <si>
    <t>esp_send_assoc_resp</t>
  </si>
  <si>
    <t>asn1.c.obj</t>
  </si>
  <si>
    <t>bignum.c.obj</t>
  </si>
  <si>
    <t>pkcs1.c.obj</t>
  </si>
  <si>
    <t>pkcs5.c.obj</t>
  </si>
  <si>
    <t>pkcs8.c.obj</t>
  </si>
  <si>
    <t>rsa.c.obj</t>
  </si>
  <si>
    <t>tls_internal.c.obj</t>
  </si>
  <si>
    <t>tlsv1_client.c.obj</t>
  </si>
  <si>
    <t>tlsv1_client_read.c.obj</t>
  </si>
  <si>
    <t>tlsv1_client_write.c.obj</t>
  </si>
  <si>
    <t>tlsv1_common.c.obj</t>
  </si>
  <si>
    <t>tlsv1_cred.c.obj</t>
  </si>
  <si>
    <t>tlsv1_record.c.obj</t>
  </si>
  <si>
    <t>tlsv1_client_ocsp.c.obj</t>
  </si>
  <si>
    <t>x509v3.c.obj</t>
  </si>
  <si>
    <t>rc4.c.obj</t>
  </si>
  <si>
    <t>rc4_skip</t>
  </si>
  <si>
    <t>aes-ctr.c.obj</t>
  </si>
  <si>
    <t>aes-cbc.c.obj</t>
  </si>
  <si>
    <t>aes_128_cbc_encrypt</t>
  </si>
  <si>
    <t>aes_128_cbc_decrypt</t>
  </si>
  <si>
    <t>aes-ccm.c.obj</t>
  </si>
  <si>
    <t>xor_aes_block</t>
  </si>
  <si>
    <t>aes_ccm_auth</t>
  </si>
  <si>
    <t>aes_ccm_encr.constprop.0</t>
  </si>
  <si>
    <t>aes_ccm_auth_start.constprop.0</t>
  </si>
  <si>
    <t>aes_ccm_ae</t>
  </si>
  <si>
    <t>aes_ccm_ad</t>
  </si>
  <si>
    <t>aes-internal-dec.c.obj</t>
  </si>
  <si>
    <t>aes_decrypt_init</t>
  </si>
  <si>
    <t>aes_decrypt</t>
  </si>
  <si>
    <t>aes_decrypt_deinit</t>
  </si>
  <si>
    <t>aes-internal-enc.c.obj</t>
  </si>
  <si>
    <t>aes_encrypt_init</t>
  </si>
  <si>
    <t>aes_encrypt</t>
  </si>
  <si>
    <t>aes_encrypt_deinit</t>
  </si>
  <si>
    <t>aes-internal.c.obj</t>
  </si>
  <si>
    <t>rijndaelKeySetupEnc</t>
  </si>
  <si>
    <t>aes-omac1.c.obj</t>
  </si>
  <si>
    <t>gf_mulx</t>
  </si>
  <si>
    <t>omac1_aes_vector</t>
  </si>
  <si>
    <t>omac1_aes_128_vector</t>
  </si>
  <si>
    <t>omac1_aes_128</t>
  </si>
  <si>
    <t>aes-unwrap.c.obj</t>
  </si>
  <si>
    <t>aes_unwrap</t>
  </si>
  <si>
    <t>aes-wrap.c.obj</t>
  </si>
  <si>
    <t>aes_wrap</t>
  </si>
  <si>
    <t>crypto_internal-cipher.c.obj</t>
  </si>
  <si>
    <t>crypto_internal-modexp.c.obj</t>
  </si>
  <si>
    <t>crypto_internal-rsa.c.obj</t>
  </si>
  <si>
    <t>crypto_internal.c.obj</t>
  </si>
  <si>
    <t>des-internal.c.obj</t>
  </si>
  <si>
    <t>md5-internal.c.obj</t>
  </si>
  <si>
    <t>MD5Transform</t>
  </si>
  <si>
    <t>MD5Init</t>
  </si>
  <si>
    <t>MD5Update</t>
  </si>
  <si>
    <t>MD5Final</t>
  </si>
  <si>
    <t>md5_vector</t>
  </si>
  <si>
    <t>md5.c.obj</t>
  </si>
  <si>
    <t>hmac_md5_vector</t>
  </si>
  <si>
    <t>hmac_md5</t>
  </si>
  <si>
    <t>sha1-internal.c.obj</t>
  </si>
  <si>
    <t>SHA1Transform</t>
  </si>
  <si>
    <t>SHA1Init</t>
  </si>
  <si>
    <t>SHA1Update</t>
  </si>
  <si>
    <t>SHA1Final</t>
  </si>
  <si>
    <t>sha1_vector</t>
  </si>
  <si>
    <t>sha1-pbkdf2.c.obj</t>
  </si>
  <si>
    <t>pbkdf2_sha1</t>
  </si>
  <si>
    <t>sha1.c.obj</t>
  </si>
  <si>
    <t>hmac_sha1_vector</t>
  </si>
  <si>
    <t>hmac_sha1</t>
  </si>
  <si>
    <t>sha256-internal.c.obj</t>
  </si>
  <si>
    <t>sha256_compress</t>
  </si>
  <si>
    <t>sha256_init</t>
  </si>
  <si>
    <t>sha256_process</t>
  </si>
  <si>
    <t>sha256_done</t>
  </si>
  <si>
    <t>sha256_vector</t>
  </si>
  <si>
    <t>sha256.c.obj</t>
  </si>
  <si>
    <t>hmac_sha256_vector</t>
  </si>
  <si>
    <t>smoltcp::iface::interface::InterfaceInner::check_ip_addrs</t>
  </si>
  <si>
    <t>smoltcp::iface::neighbor::Cache::new</t>
  </si>
  <si>
    <t>smoltcp::iface::route::Routes::new</t>
  </si>
  <si>
    <t>smoltcp::iface::route::Routes::add_default_ipv4_route</t>
  </si>
  <si>
    <t>smoltcp::iface::route::Routes::remove_default_ipv4_route</t>
  </si>
  <si>
    <t>smoltcp::iface::socket_set::SocketSet::add::put</t>
  </si>
  <si>
    <t>smoltcp::iface::socket_set::SocketSet::remove</t>
  </si>
  <si>
    <t>smoltcp::wire::ipv4::Cidr::new</t>
  </si>
  <si>
    <t>strlen</t>
  </si>
  <si>
    <t>core::slice::index::slice_start_index_len_fail::do_panic::runtime</t>
  </si>
  <si>
    <t>core::slice::index::slice_end_index_len_fail::do_panic::runtime</t>
  </si>
  <si>
    <t>core::slice::index::slice_index_order_fail::do_panic::runtime</t>
  </si>
  <si>
    <t>core::cell::panic_already_borrowed</t>
  </si>
  <si>
    <t>core::cell::panic_already_mutably_borrowed</t>
  </si>
  <si>
    <t xml:space="preserve">core::alloc::layout::Layout::is_size_align_valid </t>
  </si>
  <si>
    <t>main</t>
  </si>
  <si>
    <t>.rodata + .rodata_wifi</t>
  </si>
  <si>
    <t>.rodata_wifi</t>
  </si>
  <si>
    <t>.data + .data_wifi</t>
  </si>
  <si>
    <t>.esp-riscv-rt + … + .text</t>
  </si>
  <si>
    <t>.trap + .rwtext + .rwtext_wifi</t>
  </si>
  <si>
    <t>image size (espflash save-image --chip esp32c3 esp-wifi esp-wifi.img)</t>
  </si>
  <si>
    <t>image headers</t>
  </si>
  <si>
    <t>…..........</t>
  </si>
  <si>
    <t>runtime</t>
  </si>
  <si>
    <t>HAL</t>
  </si>
  <si>
    <t>embassy</t>
  </si>
  <si>
    <t>crates</t>
  </si>
  <si>
    <t>esp-wifi (shims)</t>
  </si>
  <si>
    <t>wifi libs</t>
  </si>
  <si>
    <t>smoltcp</t>
  </si>
  <si>
    <t>flash usage</t>
  </si>
  <si>
    <t>esp_wifi::wifi::WifiTxToken::consume_token::BUFFER</t>
  </si>
  <si>
    <t>smoltcp::wire::dhcpv4::Repr::parse</t>
  </si>
  <si>
    <t>smoltcp::wire::dhcpv4::Repr::emit</t>
  </si>
  <si>
    <t>smoltcp::wire::icmpv4::Repr::parse</t>
  </si>
  <si>
    <t>smoltcp::wire::ipv4::Repr::parse</t>
  </si>
  <si>
    <t>smoltcp::wire::ipv4::Repr::emit</t>
  </si>
  <si>
    <t>embassy_net::udp::UdpSocket::new</t>
  </si>
  <si>
    <t>embassy_sync::waitqueue::waker_registration::WakerRegistration::register</t>
  </si>
  <si>
    <t>esp_wifi::5preempt_builtin::timer::timer_tick_handler</t>
  </si>
  <si>
    <t>esp_wifi_preempt_current_task_thread_semaphore</t>
  </si>
  <si>
    <t>esp_wifi_preempt_current_task</t>
  </si>
  <si>
    <t xml:space="preserve">    esp_wifi::wifi::WifiRxToken::consume</t>
  </si>
  <si>
    <t>esp_wifi::wifi::embassy impl embassy_net_driver::RxToken for</t>
  </si>
  <si>
    <t>esp_wifi::wifi::embassy impl embassy_net_driver::TxToken for</t>
  </si>
  <si>
    <t xml:space="preserve">    esp_wifi::wifi::WifiDevice::receive</t>
  </si>
  <si>
    <t xml:space="preserve">    esp_wifi::wifi::WifiDevice::transmit</t>
  </si>
  <si>
    <t xml:space="preserve">    esp_wifi::wifi::WifiDevice::link_state</t>
  </si>
  <si>
    <t>esp_wifi_preempt_yield_task</t>
  </si>
  <si>
    <t>smoltcp::iface::interface::Interface::poll</t>
  </si>
  <si>
    <t>smoltcp::iface::interface::Interface::poll_at</t>
  </si>
  <si>
    <t>smoltcp::iface::interface::Interface::set_hardware_addr</t>
  </si>
  <si>
    <t>smoltcp::iface::interface::InterfaceInner::dispatch_ip</t>
  </si>
  <si>
    <t>smoltcp::iface::interface::InterfaceInner::get_source_address</t>
  </si>
  <si>
    <t>smoltcp::iface::interface::InterfaceInner::has_neighbor</t>
  </si>
  <si>
    <t>smoltcp::iface::interface::InterfaceInner::is_broadcast</t>
  </si>
  <si>
    <t>smoltcp::iface::interface::InterfaceInner::route</t>
  </si>
  <si>
    <t>esp_wifi::wifi impl num_traits::cast::FromPrimitive for</t>
  </si>
  <si>
    <t>smoltcp::iface::interface::ethernet</t>
  </si>
  <si>
    <t xml:space="preserve">    impl smoltcp::iface::interface::InterfaceInner::process_ethernet</t>
  </si>
  <si>
    <t>smoltcp::iface::interface::ipv4</t>
  </si>
  <si>
    <t xml:space="preserve">    impl::smoltcp::iface::interface::InterfaceInner::icmpv4_reply</t>
  </si>
  <si>
    <t>smoltcp::iface::neighbor::Cache::fill</t>
  </si>
  <si>
    <t>smoltcp::iface::neighbor::Cache::lookup</t>
  </si>
  <si>
    <t>smoltcp::iface::route::Routes::lookup</t>
  </si>
  <si>
    <t>smoltcp::socket::dhcpv4::Socket::dispatch</t>
  </si>
  <si>
    <t>smoltcp::socket::dhcpv4::Socket::parse_ack</t>
  </si>
  <si>
    <t>smoltcp::socket::dhcpv4::Socket::poll</t>
  </si>
  <si>
    <t>smoltcp::socket::dhcpv4::Socket::process</t>
  </si>
  <si>
    <t>smoltcp::socket::dhcpv4::Socket::reset</t>
  </si>
  <si>
    <t>smoltcp::socket::udp::Socket::accepts</t>
  </si>
  <si>
    <t>smoltcp::socket::udp::Socket::process</t>
  </si>
  <si>
    <t>smoltcp::socket::udp::Socket::recv_slice</t>
  </si>
  <si>
    <t>smoltcp::socket::udp::Socket::register_recv_waker</t>
  </si>
  <si>
    <t>smoltcp::socket::udp::Socket::register_send_waker</t>
  </si>
  <si>
    <t>smoltcp::storage::packet_buffer::PacketBuffer::enqueue</t>
  </si>
  <si>
    <t>smoltcp::storage::packet_buffer::PacketBuffer::dequeue</t>
  </si>
  <si>
    <t>smoltcp::storage::ring_buffer::RingBuffer::dequeue_one_with</t>
  </si>
  <si>
    <t>smoltcp::storage::ring_buffer::RingBuffer::enqueue_one_with</t>
  </si>
  <si>
    <t>smoltcp::storage::ring_buffer::RingBuffer::enqueue_many_with</t>
  </si>
  <si>
    <t>smoltcp::wire::arp::Repr::emit</t>
  </si>
  <si>
    <t>smoltcp::wire::arp::Repr::parse</t>
  </si>
  <si>
    <t>smoltcp::wire::dhcpv4::Repr::buffer_len</t>
  </si>
  <si>
    <t>smoltcp::wire::ethernet::Address::from_bytes</t>
  </si>
  <si>
    <t>smoltcp::wire::icmpv4::Repr::emit</t>
  </si>
  <si>
    <t>smoltcp::wire::ip::Address::is_unspecified</t>
  </si>
  <si>
    <t>smoltcp::wire::ip::checksum::data</t>
  </si>
  <si>
    <t>smoltcp::wire::udp::Packet::fill_checksum</t>
  </si>
  <si>
    <t>smoltcp::wire::udp::Repr::parse</t>
  </si>
  <si>
    <t>smoltcp::wire::udp::Repr::emit</t>
  </si>
  <si>
    <t>core::slice</t>
  </si>
  <si>
    <t xml:space="preserve">    impl copy_from_slice::len_mismatch_fail::do_panic::runtime</t>
  </si>
  <si>
    <t>core::net::ip_addr::Ipv4Addr</t>
  </si>
  <si>
    <t xml:space="preserve">     as smoltcp::wire::ipv4::Address::prefix_len</t>
  </si>
  <si>
    <t>smoltcp::wire::udp::Packet::payload</t>
  </si>
  <si>
    <t>smoltcp::time::Duration as core::ops::arith::Div::u32::div</t>
  </si>
  <si>
    <t>smoltcp::iface::packet::Packet::emit_payload</t>
  </si>
  <si>
    <t>smoltcp::socket::dhcpv4::Config as core::cmp::PartialEq::eq</t>
  </si>
  <si>
    <t>core::ptr::drop_in_place smoltcp::socket::dhcpv4::ClientState</t>
  </si>
  <si>
    <t>smoltcp::socket::waker::WakerRegistration::wake</t>
  </si>
  <si>
    <t>esp_wifi::init</t>
  </si>
  <si>
    <t>esp_wifi::compat::common::lock_mutex</t>
  </si>
  <si>
    <t>esp_wifi::preempt_builtin::SchedulerState::switch_task</t>
  </si>
  <si>
    <t>embassy_net::udp::UdpSocket::poll_recv_from</t>
  </si>
  <si>
    <t>esp_wifi_internal_free_rx_buffer</t>
  </si>
  <si>
    <t>esp_wifi::wifi::private::EspWifiPacketBuffer as core::ops::drop::Drop::drop</t>
  </si>
  <si>
    <t>esp_wifi::wifi::esp_wifi_send_data</t>
  </si>
  <si>
    <t>UPDATED</t>
  </si>
  <si>
    <t>SSID="iWIFI-2.4" PASSWORD="dingomolarsanta" cargo run --release</t>
  </si>
  <si>
    <t>esp_hal::soc::implementation::peripherals::UART as esp_hal::uart::Instance::parts::PERIPHERAL</t>
  </si>
  <si>
    <t>3FC887e0</t>
  </si>
  <si>
    <t>uart_udp_server::udp::server::POOL</t>
  </si>
  <si>
    <t>uart_udp_server::debug_pin::DEBUG_PIN</t>
  </si>
  <si>
    <t>uart_udp_server::uart::client::POOL</t>
  </si>
  <si>
    <t>uart_udp_server::__embassy_main::POOL</t>
  </si>
  <si>
    <t>uart_udp_server::run::POOL</t>
  </si>
  <si>
    <t>uart_udp_server::net_task::POOL</t>
  </si>
  <si>
    <t>uart_udp_server::____embassy_main_task::closure::HEAP</t>
  </si>
  <si>
    <t>uart_udp_server::____embassy_main_task::closure::STATIC_CELL</t>
  </si>
  <si>
    <t>esp_hal::soc::implementation::peripherals::UART1 as esp_hal::uart::Instance::parts</t>
  </si>
  <si>
    <t>esp_hal::soc::MAC_OVERRIDE_STATE</t>
  </si>
  <si>
    <t>esp_hal::soc::MAC_OVERRIDE</t>
  </si>
  <si>
    <t>esp_hal::gpio::interrupt::GPIO_LOCK</t>
  </si>
  <si>
    <t>esp_wifi::wifi::embassy imp embassy_net_driver::TxToken for esp_wifi::wifi::WifiTxToken::consume</t>
  </si>
  <si>
    <t>esp_hal:uart::rx_event_check_for_error</t>
  </si>
  <si>
    <t>esp_hal::uart::Info::read_buffered</t>
  </si>
  <si>
    <t>Lswitch.table.esp_hal..uart::UartRxFuture as core::future::future::Future::poll</t>
  </si>
  <si>
    <t>Lswitch.tableesp_hal::timer::PeriodicTimer::start</t>
  </si>
  <si>
    <t>esp_hal::gpio::interconnect::InputSignal as esp_hal::gpio::interconnect::PeripheralSignal::connect_input_to_peripheral</t>
  </si>
  <si>
    <t>esp_hal::gpio::interconnect::OutputSignal::connect_with_guard</t>
  </si>
  <si>
    <t>esp_hal::clock::clocks_ll::esp32c3_rtc_bbpll_configure</t>
  </si>
  <si>
    <t>esp_hal::soc::implementation::peripherals::UART1 as</t>
  </si>
  <si>
    <t xml:space="preserve">        esp_hal::uart::Instance::parts::__esp_hal_internal_irq_handler</t>
  </si>
  <si>
    <t>esp_hal::soc::implementation::gpio::io_mux_reg</t>
  </si>
  <si>
    <t xml:space="preserve">        esp_hal::soc::implementation::peripherals::GPIO2 for esp_hal::gpio::AnyPin from</t>
  </si>
  <si>
    <t>esp_hal::soc::implementation::peripherals impl core::convert::From</t>
  </si>
  <si>
    <t xml:space="preserve">        esp_hal::soc::implementation::peripherals::GPIO3 for esp_hal::gpio::AnyPin from</t>
  </si>
  <si>
    <t>esp_hal::soc::implementation::peripherals impl esp_hal::gpio::AnyPin::steal</t>
  </si>
  <si>
    <t>embassy_sync::zerocopy_channel::State::push_done</t>
  </si>
  <si>
    <t>embassy_sync::zerocopy_channel::State::pop_done</t>
  </si>
  <si>
    <t>core::ptr::drop_in_place core::result::Result</t>
  </si>
  <si>
    <t xml:space="preserve">        embassy_sync::zerocopy_channel::Channel</t>
  </si>
  <si>
    <t xml:space="preserve">        embassy_sync::blocking_mutex::raw::NoopRawMutex</t>
  </si>
  <si>
    <t xml:space="preserve">        uart_udp_server::ChannelItem</t>
  </si>
  <si>
    <t>smoltcp::socket::udp::Socket::send_slice</t>
  </si>
  <si>
    <t>420511c8</t>
  </si>
  <si>
    <t>0x42051d5c-0x42051ecd</t>
  </si>
  <si>
    <t>core::cell::once::OnceCell::try_init</t>
  </si>
  <si>
    <t>embassy_net::Stack::with_mut</t>
  </si>
  <si>
    <t>embassy_futures::select::Select as core::future::future::Future::poll</t>
  </si>
  <si>
    <t>esp_hal::uart::UartBuilder::init</t>
  </si>
  <si>
    <t>esp_hal::uart::UartTx::flush_last_byte</t>
  </si>
  <si>
    <t>esp_hal::uart::UartRx::apply_config</t>
  </si>
  <si>
    <t>esp_hal::uart::Uart::apply_config</t>
  </si>
  <si>
    <t>esp_hal::uart::Uart::set_at_cmd</t>
  </si>
  <si>
    <t>esp_hal::uart::Uart::with_tx</t>
  </si>
  <si>
    <t>esp_hal::uart::rx_event_check_for_error</t>
  </si>
  <si>
    <t>esp_hal::uart::Info::set_rx_fifo_full_threshold</t>
  </si>
  <si>
    <t>esp_hal::uart::Info::rx_fifo_full_threshold</t>
  </si>
  <si>
    <t>esp_hal::uart::Info::rxfifo_reset</t>
  </si>
  <si>
    <t>esp_hal::uart::Info::rx_fifo_count</t>
  </si>
  <si>
    <t>esp_hal::uart::Info::tx_fifo_count</t>
  </si>
  <si>
    <t>esp_hal::uart::UartRxFuture as core::future::future::Future::poll</t>
  </si>
  <si>
    <t>esp_hal::uart::UartTxFuture as core::future::future::Future::poll</t>
  </si>
  <si>
    <t>esp_hal::uart::UartTxFuture as core::ops::drop::Drop::drop</t>
  </si>
  <si>
    <t>esp_hal::gpio::GpioBank::write_out_en</t>
  </si>
  <si>
    <t>esp_hal::gpio::GpioBank::write_output</t>
  </si>
  <si>
    <t>esp_hal::gpio::Flex::apply_output_config</t>
  </si>
  <si>
    <t>esp_hal::gpio::is_int_enabled</t>
  </si>
  <si>
    <t>esp_hal::gpio::PinGuard as core::ops::drop::Drop</t>
  </si>
  <si>
    <t>esp_hal::gpio::interconnect::InputSignal</t>
  </si>
  <si>
    <t xml:space="preserve">        as esp_hal::gpio::interconnect::PeripheralSignal::connect_input_to_peripheral</t>
  </si>
  <si>
    <t>esp_hal::gpio::interconnect::OutputSignal</t>
  </si>
  <si>
    <t>esp_image: segment 0: paddr=00010020 vaddr=3c000020 size=09c78h ( 40056) map</t>
  </si>
  <si>
    <t>esp_image: segment 1: paddr=00019ce4 vaddr=3fc87460 size=0137ch (  4988) load</t>
  </si>
  <si>
    <t>esp_image: segment 2: paddr=0001b054 vaddr=40380000 size=04ff4h ( 20468) load</t>
  </si>
  <si>
    <t>esp_image: segment 3: paddr=00020020 vaddr=42010020 size=4a3ach (304044) map</t>
  </si>
  <si>
    <t>esp_image: segment 4: paddr=00069384 vaddr=40384fc4 size=0246ch (  9324) load</t>
  </si>
  <si>
    <t>x</t>
  </si>
  <si>
    <t>ram usage in image</t>
  </si>
  <si>
    <t>ram for .bss</t>
  </si>
  <si>
    <t>full ram</t>
  </si>
  <si>
    <t>cargo run --release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</si>
</sst>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1" fontId="0" fillId="0" borderId="0" xfId="0" applyNumberFormat="1"/>
    <xf numFmtId="1" fontId="2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1" fontId="0" fillId="0" borderId="0" xfId="0" applyNumberFormat="1"/>
    <xf numFmtId="1" fontId="3" fillId="0" borderId="0" xfId="0" applyNumberFormat="1" applyFont="1"/>
    <xf numFmtId="0" fontId="3" fillId="0" borderId="0" xfId="0" applyFont="1" applyAlignment="1">
      <alignment horizontal="right"/>
    </xf>
    <xf numFmtId="1" fontId="5" fillId="0" borderId="0" xfId="0" applyNumberFormat="1" applyFont="1"/>
    <xf numFmtId="0" fontId="0" fillId="0" borderId="1" xfId="0" applyBorder="1"/>
    <xf numFmtId="1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7708-F997-1741-9963-F7C4C3F90832}">
  <dimension ref="A1:J32"/>
  <sheetViews>
    <sheetView tabSelected="1" topLeftCell="A6" workbookViewId="0">
      <selection activeCell="F31" sqref="F31"/>
    </sheetView>
  </sheetViews>
  <sheetFormatPr baseColWidth="10" defaultRowHeight="16" x14ac:dyDescent="0.2"/>
  <cols>
    <col min="1" max="1" width="18.83203125" customWidth="1"/>
    <col min="2" max="2" width="11.33203125" customWidth="1"/>
    <col min="3" max="3" width="11.1640625" style="10" bestFit="1" customWidth="1"/>
    <col min="6" max="6" width="73.1640625" customWidth="1"/>
    <col min="7" max="7" width="14.33203125" customWidth="1"/>
    <col min="8" max="8" width="25.1640625" customWidth="1"/>
    <col min="9" max="9" width="13" customWidth="1"/>
  </cols>
  <sheetData>
    <row r="1" spans="1:10" x14ac:dyDescent="0.2">
      <c r="A1" t="s">
        <v>402</v>
      </c>
      <c r="B1" s="6">
        <f>group!E12</f>
        <v>916</v>
      </c>
      <c r="C1" s="10" t="str">
        <f t="shared" ref="C1:C9" si="0">"0x"&amp;DEC2HEX(B1)</f>
        <v>0x394</v>
      </c>
      <c r="F1" t="s">
        <v>2557</v>
      </c>
      <c r="G1" s="6">
        <f>B8+B9</f>
        <v>40056</v>
      </c>
      <c r="H1" t="s">
        <v>2399</v>
      </c>
    </row>
    <row r="2" spans="1:10" x14ac:dyDescent="0.2">
      <c r="A2" t="s">
        <v>403</v>
      </c>
      <c r="B2" s="6">
        <f>group!E30</f>
        <v>1096</v>
      </c>
      <c r="C2" s="10" t="str">
        <f t="shared" si="0"/>
        <v>0x448</v>
      </c>
      <c r="F2" t="s">
        <v>2558</v>
      </c>
      <c r="G2" s="6">
        <f>B5+B6</f>
        <v>4988</v>
      </c>
      <c r="H2" t="s">
        <v>2401</v>
      </c>
    </row>
    <row r="3" spans="1:10" x14ac:dyDescent="0.2">
      <c r="A3" t="s">
        <v>404</v>
      </c>
      <c r="B3" s="6">
        <f>'.rwtext.wifi'!F192</f>
        <v>27780</v>
      </c>
      <c r="C3" s="10" t="str">
        <f t="shared" si="0"/>
        <v>0x6C84</v>
      </c>
      <c r="F3" t="s">
        <v>2559</v>
      </c>
      <c r="G3" s="6"/>
      <c r="I3">
        <v>20468</v>
      </c>
    </row>
    <row r="4" spans="1:10" x14ac:dyDescent="0.2">
      <c r="A4" t="s">
        <v>405</v>
      </c>
      <c r="B4" s="6">
        <f>group!E12+group!E30+'.rwtext.wifi'!F192</f>
        <v>29792</v>
      </c>
      <c r="C4" s="10" t="str">
        <f t="shared" si="0"/>
        <v>0x7460</v>
      </c>
      <c r="F4" t="s">
        <v>2560</v>
      </c>
      <c r="G4" s="6">
        <f>SUM(B12:B28)+12</f>
        <v>304044</v>
      </c>
      <c r="H4" t="s">
        <v>2402</v>
      </c>
    </row>
    <row r="5" spans="1:10" x14ac:dyDescent="0.2">
      <c r="A5" t="s">
        <v>3</v>
      </c>
      <c r="B5" s="6">
        <f>'.data'!D77</f>
        <v>4496</v>
      </c>
      <c r="C5" s="10" t="str">
        <f t="shared" si="0"/>
        <v>0x1190</v>
      </c>
      <c r="D5" t="s">
        <v>2562</v>
      </c>
      <c r="F5" t="s">
        <v>2561</v>
      </c>
      <c r="I5">
        <v>9324</v>
      </c>
    </row>
    <row r="6" spans="1:10" x14ac:dyDescent="0.2">
      <c r="A6" t="s">
        <v>406</v>
      </c>
      <c r="B6" s="6">
        <f>group!E48</f>
        <v>492</v>
      </c>
      <c r="C6" s="10" t="str">
        <f t="shared" si="0"/>
        <v>0x1EC</v>
      </c>
      <c r="D6" t="s">
        <v>2562</v>
      </c>
      <c r="G6" s="6">
        <f>B1+B2+B3</f>
        <v>29792</v>
      </c>
      <c r="H6" t="s">
        <v>2403</v>
      </c>
      <c r="I6" s="6">
        <f>I3+I5</f>
        <v>29792</v>
      </c>
      <c r="J6" s="6">
        <f>B4</f>
        <v>29792</v>
      </c>
    </row>
    <row r="7" spans="1:10" x14ac:dyDescent="0.2">
      <c r="A7" t="s">
        <v>0</v>
      </c>
      <c r="B7" s="6">
        <f>'.bss'!D210</f>
        <v>112552</v>
      </c>
      <c r="C7" s="10" t="str">
        <f t="shared" si="0"/>
        <v>0x1B7A8</v>
      </c>
      <c r="F7" s="4"/>
      <c r="G7" s="8">
        <f>G1+G2+G4+G6</f>
        <v>378880</v>
      </c>
    </row>
    <row r="8" spans="1:10" x14ac:dyDescent="0.2">
      <c r="A8" t="s">
        <v>1</v>
      </c>
      <c r="B8" s="6">
        <f>'.rodata'!D99</f>
        <v>13736</v>
      </c>
      <c r="C8" s="10" t="str">
        <f t="shared" si="0"/>
        <v>0x35A8</v>
      </c>
      <c r="D8" t="s">
        <v>2562</v>
      </c>
      <c r="F8" t="s">
        <v>2414</v>
      </c>
      <c r="G8" s="6">
        <f>G1+G4</f>
        <v>344100</v>
      </c>
      <c r="H8" s="6"/>
      <c r="I8" s="20"/>
    </row>
    <row r="9" spans="1:10" x14ac:dyDescent="0.2">
      <c r="A9" t="s">
        <v>2400</v>
      </c>
      <c r="B9">
        <v>26320</v>
      </c>
      <c r="C9" s="10" t="str">
        <f t="shared" si="0"/>
        <v>0x66D0</v>
      </c>
      <c r="D9" t="s">
        <v>2562</v>
      </c>
      <c r="F9" t="s">
        <v>2563</v>
      </c>
      <c r="G9" s="6">
        <f>G2+G6</f>
        <v>34780</v>
      </c>
      <c r="H9" s="8">
        <f>G8+G9</f>
        <v>378880</v>
      </c>
    </row>
    <row r="10" spans="1:10" x14ac:dyDescent="0.2">
      <c r="A10" s="18" t="s">
        <v>606</v>
      </c>
      <c r="C10" s="11" t="s">
        <v>607</v>
      </c>
      <c r="F10" t="s">
        <v>2564</v>
      </c>
      <c r="G10" s="6">
        <f>B7</f>
        <v>112552</v>
      </c>
      <c r="I10" t="s">
        <v>2565</v>
      </c>
      <c r="J10" s="6">
        <f>G9+G10</f>
        <v>147332</v>
      </c>
    </row>
    <row r="11" spans="1:10" x14ac:dyDescent="0.2">
      <c r="F11" s="4" t="s">
        <v>2405</v>
      </c>
      <c r="H11" s="19" t="s">
        <v>2406</v>
      </c>
    </row>
    <row r="12" spans="1:10" x14ac:dyDescent="0.2">
      <c r="A12" t="s">
        <v>610</v>
      </c>
      <c r="B12" s="6">
        <f>group!E57</f>
        <v>210</v>
      </c>
      <c r="C12" s="10" t="str">
        <f t="shared" ref="C12:C28" si="1">"0x"&amp;DEC2HEX(B12)</f>
        <v>0xD2</v>
      </c>
      <c r="F12" t="s">
        <v>2404</v>
      </c>
      <c r="H12">
        <v>378.99200000000002</v>
      </c>
    </row>
    <row r="13" spans="1:10" x14ac:dyDescent="0.2">
      <c r="A13" t="s">
        <v>611</v>
      </c>
      <c r="B13" s="6">
        <f>group!E62</f>
        <v>384</v>
      </c>
      <c r="C13" s="10" t="str">
        <f t="shared" si="1"/>
        <v>0x180</v>
      </c>
      <c r="D13" s="6">
        <f>B12+B13</f>
        <v>594</v>
      </c>
      <c r="E13" s="6"/>
      <c r="F13" t="s">
        <v>2407</v>
      </c>
    </row>
    <row r="14" spans="1:10" x14ac:dyDescent="0.2">
      <c r="A14" t="s">
        <v>612</v>
      </c>
      <c r="B14" s="6">
        <f>'.esp-hal'!C85</f>
        <v>8740</v>
      </c>
      <c r="C14" s="10" t="str">
        <f t="shared" si="1"/>
        <v>0x2224</v>
      </c>
      <c r="D14" s="6">
        <f>B14</f>
        <v>8740</v>
      </c>
      <c r="E14" s="6"/>
      <c r="F14" t="s">
        <v>2408</v>
      </c>
    </row>
    <row r="15" spans="1:10" x14ac:dyDescent="0.2">
      <c r="A15" t="s">
        <v>613</v>
      </c>
      <c r="B15" s="6">
        <f>embassy!D50</f>
        <v>5128</v>
      </c>
      <c r="C15" s="10" t="str">
        <f t="shared" si="1"/>
        <v>0x1408</v>
      </c>
    </row>
    <row r="16" spans="1:10" x14ac:dyDescent="0.2">
      <c r="A16" t="s">
        <v>608</v>
      </c>
      <c r="B16" s="6">
        <f>embassy!D58</f>
        <v>760</v>
      </c>
      <c r="C16" s="10" t="str">
        <f t="shared" si="1"/>
        <v>0x2F8</v>
      </c>
      <c r="D16" s="6">
        <f>B15+B16</f>
        <v>5888</v>
      </c>
      <c r="E16" s="6"/>
      <c r="F16" t="s">
        <v>2409</v>
      </c>
    </row>
    <row r="17" spans="1:6" x14ac:dyDescent="0.2">
      <c r="A17" t="s">
        <v>614</v>
      </c>
      <c r="B17" s="6">
        <f>'alloc+atomic'!D18</f>
        <v>1876</v>
      </c>
      <c r="C17" s="10" t="str">
        <f t="shared" si="1"/>
        <v>0x754</v>
      </c>
    </row>
    <row r="18" spans="1:6" x14ac:dyDescent="0.2">
      <c r="A18" t="s">
        <v>609</v>
      </c>
      <c r="B18" s="6">
        <f>'alloc+atomic'!D26</f>
        <v>156</v>
      </c>
      <c r="C18" s="10" t="str">
        <f t="shared" si="1"/>
        <v>0x9C</v>
      </c>
      <c r="D18" s="6">
        <f>B17+B18</f>
        <v>2032</v>
      </c>
      <c r="E18" s="6"/>
      <c r="F18" t="s">
        <v>2410</v>
      </c>
    </row>
    <row r="19" spans="1:6" x14ac:dyDescent="0.2">
      <c r="A19" t="s">
        <v>615</v>
      </c>
      <c r="B19" s="6">
        <f>'.esp-wifi'!C146</f>
        <v>14438</v>
      </c>
      <c r="C19" s="10" t="str">
        <f t="shared" si="1"/>
        <v>0x3866</v>
      </c>
      <c r="D19" s="7">
        <f>B19</f>
        <v>14438</v>
      </c>
      <c r="E19" s="6"/>
      <c r="F19" t="s">
        <v>2411</v>
      </c>
    </row>
    <row r="20" spans="1:6" x14ac:dyDescent="0.2">
      <c r="A20" t="s">
        <v>616</v>
      </c>
      <c r="B20" s="6">
        <f>'libcore printf'!D5</f>
        <v>368</v>
      </c>
      <c r="C20" s="10" t="str">
        <f t="shared" si="1"/>
        <v>0x170</v>
      </c>
    </row>
    <row r="21" spans="1:6" x14ac:dyDescent="0.2">
      <c r="A21" t="s">
        <v>617</v>
      </c>
      <c r="B21" s="6">
        <f>'libcore printf'!D18</f>
        <v>4644</v>
      </c>
      <c r="C21" s="10" t="str">
        <f t="shared" si="1"/>
        <v>0x1224</v>
      </c>
    </row>
    <row r="22" spans="1:6" x14ac:dyDescent="0.2">
      <c r="A22" t="s">
        <v>6</v>
      </c>
      <c r="B22" s="6">
        <f>'.libpp'!E356</f>
        <v>36242</v>
      </c>
      <c r="C22" s="10" t="str">
        <f t="shared" si="1"/>
        <v>0x8D92</v>
      </c>
    </row>
    <row r="23" spans="1:6" x14ac:dyDescent="0.2">
      <c r="A23" t="s">
        <v>618</v>
      </c>
      <c r="B23" s="6">
        <f>'.libphy'!E158</f>
        <v>29396</v>
      </c>
      <c r="C23" s="10" t="str">
        <f t="shared" si="1"/>
        <v>0x72D4</v>
      </c>
    </row>
    <row r="24" spans="1:6" x14ac:dyDescent="0.2">
      <c r="A24" t="s">
        <v>619</v>
      </c>
      <c r="B24" s="6">
        <f>'.libnet80211'!E681</f>
        <v>121568</v>
      </c>
      <c r="C24" s="10" t="str">
        <f t="shared" si="1"/>
        <v>0x1DAE0</v>
      </c>
    </row>
    <row r="25" spans="1:6" x14ac:dyDescent="0.2">
      <c r="A25" t="s">
        <v>7</v>
      </c>
      <c r="B25" s="6">
        <f>'.libwpa-suppl'!E379</f>
        <v>48494</v>
      </c>
      <c r="C25" s="10" t="str">
        <f t="shared" si="1"/>
        <v>0xBD6E</v>
      </c>
      <c r="D25" s="7">
        <f>SUM(B20:B25)</f>
        <v>240712</v>
      </c>
      <c r="E25" s="6"/>
      <c r="F25" t="s">
        <v>2412</v>
      </c>
    </row>
    <row r="26" spans="1:6" x14ac:dyDescent="0.2">
      <c r="A26" t="s">
        <v>620</v>
      </c>
      <c r="B26" s="6">
        <f>'.smoltcp'!C70</f>
        <v>26582</v>
      </c>
      <c r="C26" s="10" t="str">
        <f t="shared" si="1"/>
        <v>0x67D6</v>
      </c>
      <c r="D26" s="7">
        <f>B26</f>
        <v>26582</v>
      </c>
      <c r="E26" s="6"/>
      <c r="F26" t="s">
        <v>2413</v>
      </c>
    </row>
    <row r="27" spans="1:6" x14ac:dyDescent="0.2">
      <c r="A27" t="s">
        <v>621</v>
      </c>
      <c r="B27" s="6">
        <f>'core-text'!D25</f>
        <v>792</v>
      </c>
      <c r="C27" s="10" t="str">
        <f t="shared" si="1"/>
        <v>0x318</v>
      </c>
    </row>
    <row r="28" spans="1:6" x14ac:dyDescent="0.2">
      <c r="A28" t="s">
        <v>622</v>
      </c>
      <c r="B28" s="6">
        <f>'core-text'!D34</f>
        <v>4254</v>
      </c>
      <c r="C28" s="10" t="str">
        <f t="shared" si="1"/>
        <v>0x109E</v>
      </c>
    </row>
    <row r="30" spans="1:6" x14ac:dyDescent="0.2">
      <c r="F30" t="s">
        <v>2492</v>
      </c>
    </row>
    <row r="31" spans="1:6" x14ac:dyDescent="0.2">
      <c r="F31" t="s">
        <v>2566</v>
      </c>
    </row>
    <row r="32" spans="1:6" x14ac:dyDescent="0.2">
      <c r="F32" s="1" t="s">
        <v>2491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2E27-EE92-A442-A8A8-192098D5DDC8}">
  <dimension ref="A1:F62"/>
  <sheetViews>
    <sheetView topLeftCell="A10" workbookViewId="0">
      <selection activeCell="B11" sqref="B11"/>
    </sheetView>
  </sheetViews>
  <sheetFormatPr baseColWidth="10" defaultRowHeight="16" x14ac:dyDescent="0.2"/>
  <cols>
    <col min="1" max="1" width="12" customWidth="1"/>
    <col min="2" max="2" width="63.83203125" customWidth="1"/>
    <col min="3" max="3" width="8.1640625" customWidth="1"/>
    <col min="4" max="4" width="16" customWidth="1"/>
  </cols>
  <sheetData>
    <row r="1" spans="1:6" x14ac:dyDescent="0.2">
      <c r="A1" s="1" t="s">
        <v>402</v>
      </c>
    </row>
    <row r="2" spans="1:6" x14ac:dyDescent="0.2">
      <c r="A2" t="s">
        <v>315</v>
      </c>
      <c r="B2" t="s">
        <v>314</v>
      </c>
    </row>
    <row r="3" spans="1:6" x14ac:dyDescent="0.2">
      <c r="A3" t="s">
        <v>316</v>
      </c>
      <c r="B3" t="s">
        <v>324</v>
      </c>
    </row>
    <row r="4" spans="1:6" x14ac:dyDescent="0.2">
      <c r="A4" t="s">
        <v>317</v>
      </c>
      <c r="B4" s="2" t="s">
        <v>325</v>
      </c>
      <c r="C4" s="2"/>
      <c r="D4" s="2"/>
      <c r="E4" s="2"/>
      <c r="F4" s="2"/>
    </row>
    <row r="5" spans="1:6" x14ac:dyDescent="0.2">
      <c r="A5" t="s">
        <v>308</v>
      </c>
      <c r="B5" s="2"/>
      <c r="C5" s="2"/>
      <c r="D5" s="2"/>
      <c r="E5" s="2"/>
      <c r="F5" s="2"/>
    </row>
    <row r="6" spans="1:6" x14ac:dyDescent="0.2">
      <c r="A6" t="s">
        <v>318</v>
      </c>
      <c r="B6" s="2" t="s">
        <v>326</v>
      </c>
      <c r="C6" s="2">
        <v>478</v>
      </c>
      <c r="D6" s="2"/>
      <c r="E6" s="2"/>
      <c r="F6" s="2"/>
    </row>
    <row r="7" spans="1:6" x14ac:dyDescent="0.2">
      <c r="B7" s="2"/>
      <c r="C7" s="2"/>
      <c r="D7" s="2"/>
      <c r="E7" s="2"/>
      <c r="F7" s="2"/>
    </row>
    <row r="8" spans="1:6" x14ac:dyDescent="0.2">
      <c r="A8" t="s">
        <v>319</v>
      </c>
      <c r="B8" s="2" t="s">
        <v>327</v>
      </c>
      <c r="C8" s="2">
        <v>168</v>
      </c>
      <c r="D8" s="2"/>
      <c r="E8" s="2"/>
      <c r="F8" s="2"/>
    </row>
    <row r="9" spans="1:6" x14ac:dyDescent="0.2">
      <c r="A9" t="s">
        <v>320</v>
      </c>
      <c r="B9" s="2" t="s">
        <v>268</v>
      </c>
      <c r="C9" s="2">
        <v>122</v>
      </c>
      <c r="D9" s="2"/>
      <c r="E9" s="2"/>
      <c r="F9" s="2"/>
    </row>
    <row r="10" spans="1:6" x14ac:dyDescent="0.2">
      <c r="A10" t="s">
        <v>321</v>
      </c>
      <c r="B10" s="2" t="s">
        <v>328</v>
      </c>
      <c r="C10" s="2">
        <v>128</v>
      </c>
      <c r="D10" s="2"/>
      <c r="E10" s="2"/>
      <c r="F10" s="2"/>
    </row>
    <row r="11" spans="1:6" x14ac:dyDescent="0.2">
      <c r="A11" t="s">
        <v>322</v>
      </c>
      <c r="B11" s="2" t="s">
        <v>329</v>
      </c>
      <c r="C11" s="2">
        <v>18</v>
      </c>
      <c r="D11" s="2"/>
      <c r="E11" s="2"/>
      <c r="F11" s="2"/>
    </row>
    <row r="12" spans="1:6" x14ac:dyDescent="0.2">
      <c r="A12" t="s">
        <v>323</v>
      </c>
      <c r="B12" s="2" t="s">
        <v>268</v>
      </c>
      <c r="C12" s="2">
        <v>2</v>
      </c>
      <c r="E12" s="15">
        <f>SUM($C$2:C12)</f>
        <v>916</v>
      </c>
      <c r="F12" s="16" t="str">
        <f>"0x"&amp;DEC2HEX(E12)</f>
        <v>0x394</v>
      </c>
    </row>
    <row r="13" spans="1:6" x14ac:dyDescent="0.2">
      <c r="B13" s="2"/>
      <c r="C13" s="2"/>
      <c r="D13" s="15"/>
      <c r="E13" s="16"/>
      <c r="F13" s="2"/>
    </row>
    <row r="15" spans="1:6" x14ac:dyDescent="0.2">
      <c r="A15" s="1" t="s">
        <v>403</v>
      </c>
    </row>
    <row r="16" spans="1:6" x14ac:dyDescent="0.2">
      <c r="B16" s="2" t="s">
        <v>303</v>
      </c>
      <c r="C16" s="2">
        <v>214</v>
      </c>
      <c r="D16" s="2"/>
      <c r="E16" s="2"/>
    </row>
    <row r="17" spans="2:6" x14ac:dyDescent="0.2">
      <c r="B17" s="2" t="s">
        <v>304</v>
      </c>
      <c r="C17" s="2">
        <v>8</v>
      </c>
      <c r="D17" s="2"/>
      <c r="E17" s="2"/>
    </row>
    <row r="18" spans="2:6" x14ac:dyDescent="0.2">
      <c r="B18" s="2" t="s">
        <v>305</v>
      </c>
      <c r="C18" s="2">
        <v>40</v>
      </c>
      <c r="D18" s="2"/>
      <c r="E18" s="2"/>
    </row>
    <row r="19" spans="2:6" x14ac:dyDescent="0.2">
      <c r="B19" s="2" t="s">
        <v>306</v>
      </c>
      <c r="C19" s="2">
        <v>10</v>
      </c>
      <c r="D19" s="2"/>
      <c r="E19" s="2"/>
    </row>
    <row r="20" spans="2:6" x14ac:dyDescent="0.2">
      <c r="B20" s="2"/>
      <c r="C20" s="2"/>
      <c r="D20" s="2"/>
      <c r="E20" s="2"/>
    </row>
    <row r="21" spans="2:6" x14ac:dyDescent="0.2">
      <c r="B21" s="2" t="s">
        <v>307</v>
      </c>
      <c r="C21" s="2"/>
      <c r="D21" s="2"/>
      <c r="E21" s="2"/>
    </row>
    <row r="22" spans="2:6" x14ac:dyDescent="0.2">
      <c r="B22" s="2" t="s">
        <v>308</v>
      </c>
      <c r="C22" s="2"/>
      <c r="D22" s="2"/>
      <c r="E22" s="2"/>
    </row>
    <row r="23" spans="2:6" x14ac:dyDescent="0.2">
      <c r="B23" s="2" t="s">
        <v>309</v>
      </c>
      <c r="C23" s="2">
        <v>120</v>
      </c>
      <c r="D23" s="2"/>
      <c r="E23" s="2"/>
    </row>
    <row r="24" spans="2:6" x14ac:dyDescent="0.2">
      <c r="B24" s="2"/>
      <c r="C24" s="2"/>
      <c r="D24" s="2"/>
      <c r="E24" s="2"/>
    </row>
    <row r="25" spans="2:6" x14ac:dyDescent="0.2">
      <c r="B25" s="2" t="s">
        <v>310</v>
      </c>
      <c r="C25" s="2">
        <v>432</v>
      </c>
      <c r="D25" s="2"/>
      <c r="E25" s="2"/>
    </row>
    <row r="26" spans="2:6" x14ac:dyDescent="0.2">
      <c r="B26" s="2"/>
      <c r="C26" s="2"/>
      <c r="D26" s="2"/>
      <c r="E26" s="2"/>
    </row>
    <row r="27" spans="2:6" x14ac:dyDescent="0.2">
      <c r="B27" s="2" t="s">
        <v>311</v>
      </c>
      <c r="C27" s="2">
        <v>8</v>
      </c>
      <c r="D27" s="2"/>
      <c r="E27" s="2"/>
    </row>
    <row r="28" spans="2:6" x14ac:dyDescent="0.2">
      <c r="B28" s="2" t="s">
        <v>312</v>
      </c>
      <c r="C28" s="2">
        <v>16</v>
      </c>
      <c r="D28" s="2"/>
      <c r="E28" s="2"/>
    </row>
    <row r="29" spans="2:6" x14ac:dyDescent="0.2">
      <c r="B29" s="2"/>
      <c r="C29" s="2"/>
      <c r="D29" s="2"/>
      <c r="E29" s="2"/>
    </row>
    <row r="30" spans="2:6" x14ac:dyDescent="0.2">
      <c r="B30" s="2" t="s">
        <v>313</v>
      </c>
      <c r="C30" s="2">
        <v>248</v>
      </c>
      <c r="E30" s="15">
        <f>SUM(C$16:$C30)</f>
        <v>1096</v>
      </c>
      <c r="F30" s="16" t="str">
        <f>"0x"&amp;DEC2HEX(E30)</f>
        <v>0x448</v>
      </c>
    </row>
    <row r="33" spans="1:6" x14ac:dyDescent="0.2">
      <c r="A33" s="1" t="s">
        <v>406</v>
      </c>
    </row>
    <row r="34" spans="1:6" x14ac:dyDescent="0.2">
      <c r="B34" s="2"/>
      <c r="C34" s="2"/>
      <c r="D34" s="11" t="s">
        <v>401</v>
      </c>
      <c r="E34" s="2"/>
      <c r="F34" s="2"/>
    </row>
    <row r="35" spans="1:6" x14ac:dyDescent="0.2">
      <c r="B35" s="2" t="s">
        <v>391</v>
      </c>
      <c r="C35" s="2">
        <v>1</v>
      </c>
      <c r="D35" s="11" t="str">
        <f>"0x"&amp;DEC2HEX(HEX2DEC(D$34)+SUM($C$35:C35))</f>
        <v>0x3FC885D9</v>
      </c>
      <c r="E35" s="2"/>
      <c r="F35" s="2"/>
    </row>
    <row r="36" spans="1:6" x14ac:dyDescent="0.2">
      <c r="B36" s="2" t="s">
        <v>268</v>
      </c>
      <c r="C36" s="2">
        <v>3</v>
      </c>
      <c r="D36" s="11" t="str">
        <f>"0x"&amp;DEC2HEX(HEX2DEC(D$34)+SUM($C$35:C36))</f>
        <v>0x3FC885DC</v>
      </c>
      <c r="E36" s="2"/>
      <c r="F36" s="2"/>
    </row>
    <row r="37" spans="1:6" x14ac:dyDescent="0.2">
      <c r="B37" s="2" t="s">
        <v>392</v>
      </c>
      <c r="C37" s="2">
        <v>4</v>
      </c>
      <c r="D37" s="11" t="str">
        <f>"0x"&amp;DEC2HEX(HEX2DEC(D$34)+SUM($C$35:C37))</f>
        <v>0x3FC885E0</v>
      </c>
      <c r="E37" s="2"/>
      <c r="F37" s="2"/>
    </row>
    <row r="38" spans="1:6" x14ac:dyDescent="0.2">
      <c r="B38" s="2" t="s">
        <v>393</v>
      </c>
      <c r="C38" s="2">
        <v>1</v>
      </c>
      <c r="D38" s="11" t="str">
        <f>"0x"&amp;DEC2HEX(HEX2DEC(D$34)+SUM($C$35:C38))</f>
        <v>0x3FC885E1</v>
      </c>
      <c r="E38" s="2"/>
      <c r="F38" s="2"/>
    </row>
    <row r="39" spans="1:6" x14ac:dyDescent="0.2">
      <c r="B39" s="2" t="s">
        <v>394</v>
      </c>
      <c r="C39" s="2">
        <v>1</v>
      </c>
      <c r="D39" s="11" t="str">
        <f>"0x"&amp;DEC2HEX(HEX2DEC(D$34)+SUM($C$35:C39))</f>
        <v>0x3FC885E2</v>
      </c>
      <c r="E39" s="2"/>
      <c r="F39" s="2"/>
    </row>
    <row r="40" spans="1:6" x14ac:dyDescent="0.2">
      <c r="B40" s="2" t="s">
        <v>268</v>
      </c>
      <c r="C40" s="2">
        <v>2</v>
      </c>
      <c r="D40" s="11" t="str">
        <f>"0x"&amp;DEC2HEX(HEX2DEC(D$34)+SUM($C$35:C40))</f>
        <v>0x3FC885E4</v>
      </c>
      <c r="E40" s="2"/>
      <c r="F40" s="2"/>
    </row>
    <row r="41" spans="1:6" x14ac:dyDescent="0.2">
      <c r="B41" s="2"/>
      <c r="C41" s="2"/>
      <c r="D41" s="11" t="str">
        <f>"0x"&amp;DEC2HEX(HEX2DEC(D$34)+SUM($C$35:C41))</f>
        <v>0x3FC885E4</v>
      </c>
      <c r="E41" s="2"/>
      <c r="F41" s="2"/>
    </row>
    <row r="42" spans="1:6" x14ac:dyDescent="0.2">
      <c r="B42" s="2" t="s">
        <v>395</v>
      </c>
      <c r="C42" s="2">
        <v>144</v>
      </c>
      <c r="D42" s="11" t="str">
        <f>"0x"&amp;DEC2HEX(HEX2DEC(D$34)+SUM($C$35:C42))</f>
        <v>0x3FC88674</v>
      </c>
      <c r="E42" s="2"/>
      <c r="F42" s="2"/>
    </row>
    <row r="43" spans="1:6" x14ac:dyDescent="0.2">
      <c r="B43" s="2" t="s">
        <v>396</v>
      </c>
      <c r="C43" s="2">
        <v>33</v>
      </c>
      <c r="D43" s="11" t="str">
        <f>"0x"&amp;DEC2HEX(HEX2DEC(D$34)+SUM($C$35:C43))</f>
        <v>0x3FC88695</v>
      </c>
      <c r="E43" s="2"/>
      <c r="F43" s="2"/>
    </row>
    <row r="44" spans="1:6" x14ac:dyDescent="0.2">
      <c r="B44" s="2" t="s">
        <v>268</v>
      </c>
      <c r="C44" s="2">
        <v>3</v>
      </c>
      <c r="D44" s="11" t="str">
        <f>"0x"&amp;DEC2HEX(HEX2DEC(D$34)+SUM($C$35:C44))</f>
        <v>0x3FC88698</v>
      </c>
      <c r="E44" s="2"/>
      <c r="F44" s="2"/>
    </row>
    <row r="45" spans="1:6" x14ac:dyDescent="0.2">
      <c r="B45" s="2" t="s">
        <v>397</v>
      </c>
      <c r="C45" s="2">
        <v>160</v>
      </c>
      <c r="D45" s="11" t="str">
        <f>"0x"&amp;DEC2HEX(HEX2DEC(D$34)+SUM($C$35:C45))</f>
        <v>0x3FC88738</v>
      </c>
      <c r="E45" s="2"/>
      <c r="F45" s="2"/>
    </row>
    <row r="46" spans="1:6" x14ac:dyDescent="0.2">
      <c r="B46" s="2" t="s">
        <v>398</v>
      </c>
      <c r="C46" s="2">
        <v>4</v>
      </c>
      <c r="D46" s="11" t="str">
        <f>"0x"&amp;DEC2HEX(HEX2DEC(D$34)+SUM($C$35:C46))</f>
        <v>0x3FC8873C</v>
      </c>
      <c r="E46" s="2"/>
      <c r="F46" s="2"/>
    </row>
    <row r="47" spans="1:6" x14ac:dyDescent="0.2">
      <c r="B47" s="2" t="s">
        <v>399</v>
      </c>
      <c r="C47" s="2">
        <v>4</v>
      </c>
      <c r="D47" s="11" t="str">
        <f>"0x"&amp;DEC2HEX(HEX2DEC(D$34)+SUM($C$35:C47))</f>
        <v>0x3FC88740</v>
      </c>
      <c r="E47" s="2"/>
      <c r="F47" s="2"/>
    </row>
    <row r="48" spans="1:6" x14ac:dyDescent="0.2">
      <c r="B48" s="2" t="s">
        <v>400</v>
      </c>
      <c r="C48" s="2">
        <v>132</v>
      </c>
      <c r="D48" s="11" t="str">
        <f>"0x"&amp;DEC2HEX(HEX2DEC(D$34)+SUM($C$35:C48))</f>
        <v>0x3FC887C4</v>
      </c>
      <c r="E48" s="15">
        <f>SUM(C$35:$C48)</f>
        <v>492</v>
      </c>
      <c r="F48" s="16" t="str">
        <f>"0x"&amp;DEC2HEX(E48)</f>
        <v>0x1EC</v>
      </c>
    </row>
    <row r="51" spans="1:6" x14ac:dyDescent="0.2">
      <c r="A51" s="1" t="s">
        <v>635</v>
      </c>
    </row>
    <row r="52" spans="1:6" x14ac:dyDescent="0.2">
      <c r="A52" t="s">
        <v>623</v>
      </c>
      <c r="B52" t="s">
        <v>624</v>
      </c>
      <c r="C52">
        <v>8</v>
      </c>
    </row>
    <row r="53" spans="1:6" x14ac:dyDescent="0.2">
      <c r="A53" t="s">
        <v>625</v>
      </c>
      <c r="B53" t="s">
        <v>626</v>
      </c>
      <c r="C53">
        <v>144</v>
      </c>
    </row>
    <row r="54" spans="1:6" x14ac:dyDescent="0.2">
      <c r="A54" t="s">
        <v>627</v>
      </c>
      <c r="B54" t="s">
        <v>628</v>
      </c>
      <c r="C54">
        <v>46</v>
      </c>
    </row>
    <row r="55" spans="1:6" x14ac:dyDescent="0.2">
      <c r="A55" s="14" t="s">
        <v>629</v>
      </c>
      <c r="B55" t="s">
        <v>630</v>
      </c>
      <c r="C55">
        <v>4</v>
      </c>
    </row>
    <row r="56" spans="1:6" x14ac:dyDescent="0.2">
      <c r="A56" t="s">
        <v>631</v>
      </c>
      <c r="B56" t="s">
        <v>632</v>
      </c>
      <c r="C56">
        <v>6</v>
      </c>
    </row>
    <row r="57" spans="1:6" x14ac:dyDescent="0.2">
      <c r="A57" t="s">
        <v>633</v>
      </c>
      <c r="B57" t="s">
        <v>634</v>
      </c>
      <c r="C57">
        <v>2</v>
      </c>
      <c r="E57" s="8">
        <f>SUM(C$52:C57)</f>
        <v>210</v>
      </c>
      <c r="F57" s="9" t="str">
        <f>"0x"&amp;DEC2HEX(E57)</f>
        <v>0xD2</v>
      </c>
    </row>
    <row r="60" spans="1:6" x14ac:dyDescent="0.2">
      <c r="A60" s="1" t="s">
        <v>611</v>
      </c>
    </row>
    <row r="61" spans="1:6" x14ac:dyDescent="0.2">
      <c r="A61" t="s">
        <v>636</v>
      </c>
      <c r="B61" t="s">
        <v>637</v>
      </c>
      <c r="C61">
        <v>190</v>
      </c>
    </row>
    <row r="62" spans="1:6" x14ac:dyDescent="0.2">
      <c r="A62" t="s">
        <v>638</v>
      </c>
      <c r="B62" t="s">
        <v>639</v>
      </c>
      <c r="C62">
        <v>194</v>
      </c>
      <c r="E62" s="8">
        <f>SUM(C$61:C62)</f>
        <v>384</v>
      </c>
      <c r="F62" s="9" t="str">
        <f>"0x"&amp;DEC2HEX(E62)</f>
        <v>0x180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BE33-F1F8-3649-8827-46D78FA2FDC2}">
  <dimension ref="A1:J192"/>
  <sheetViews>
    <sheetView topLeftCell="A183" workbookViewId="0">
      <selection activeCell="F192" sqref="F192"/>
    </sheetView>
  </sheetViews>
  <sheetFormatPr baseColWidth="10" defaultRowHeight="16" x14ac:dyDescent="0.2"/>
  <cols>
    <col min="1" max="1" width="12.33203125" bestFit="1" customWidth="1"/>
    <col min="2" max="2" width="17.83203125" bestFit="1" customWidth="1"/>
    <col min="3" max="3" width="17.5" customWidth="1"/>
    <col min="4" max="4" width="45.33203125" customWidth="1"/>
    <col min="5" max="5" width="10.83203125" style="6"/>
    <col min="8" max="8" width="46" customWidth="1"/>
  </cols>
  <sheetData>
    <row r="1" spans="1:10" x14ac:dyDescent="0.2">
      <c r="A1" t="s">
        <v>21</v>
      </c>
    </row>
    <row r="2" spans="1:10" x14ac:dyDescent="0.2">
      <c r="B2" t="s">
        <v>68</v>
      </c>
      <c r="H2" t="s">
        <v>12</v>
      </c>
      <c r="I2">
        <v>16</v>
      </c>
    </row>
    <row r="3" spans="1:10" x14ac:dyDescent="0.2">
      <c r="C3" t="s">
        <v>67</v>
      </c>
      <c r="D3" t="s">
        <v>66</v>
      </c>
      <c r="E3" s="6">
        <f>I26</f>
        <v>324</v>
      </c>
      <c r="H3" t="s">
        <v>18</v>
      </c>
      <c r="I3">
        <v>1302</v>
      </c>
    </row>
    <row r="4" spans="1:10" x14ac:dyDescent="0.2">
      <c r="C4" t="s">
        <v>257</v>
      </c>
      <c r="D4" t="s">
        <v>269</v>
      </c>
      <c r="E4" s="6">
        <f>I139</f>
        <v>508</v>
      </c>
      <c r="H4" t="s">
        <v>20</v>
      </c>
      <c r="I4">
        <v>658</v>
      </c>
    </row>
    <row r="5" spans="1:10" x14ac:dyDescent="0.2">
      <c r="B5" t="s">
        <v>92</v>
      </c>
      <c r="H5" t="s">
        <v>24</v>
      </c>
      <c r="I5">
        <v>92</v>
      </c>
    </row>
    <row r="6" spans="1:10" x14ac:dyDescent="0.2">
      <c r="C6" t="s">
        <v>91</v>
      </c>
      <c r="D6" t="s">
        <v>90</v>
      </c>
      <c r="E6" s="6">
        <f>I36</f>
        <v>16</v>
      </c>
      <c r="H6" t="s">
        <v>25</v>
      </c>
      <c r="I6">
        <v>76</v>
      </c>
      <c r="J6" s="2"/>
    </row>
    <row r="7" spans="1:10" x14ac:dyDescent="0.2">
      <c r="B7" t="s">
        <v>22</v>
      </c>
      <c r="H7" t="s">
        <v>26</v>
      </c>
      <c r="I7">
        <v>484</v>
      </c>
    </row>
    <row r="8" spans="1:10" x14ac:dyDescent="0.2">
      <c r="C8" t="s">
        <v>23</v>
      </c>
      <c r="D8" t="s">
        <v>24</v>
      </c>
      <c r="E8" s="6">
        <f>I5</f>
        <v>92</v>
      </c>
      <c r="H8" t="s">
        <v>27</v>
      </c>
      <c r="I8">
        <v>244</v>
      </c>
    </row>
    <row r="9" spans="1:10" x14ac:dyDescent="0.2">
      <c r="C9" t="s">
        <v>30</v>
      </c>
      <c r="D9" t="s">
        <v>25</v>
      </c>
      <c r="E9" s="6">
        <f>I6</f>
        <v>76</v>
      </c>
      <c r="H9" t="s">
        <v>28</v>
      </c>
      <c r="I9">
        <v>788</v>
      </c>
    </row>
    <row r="10" spans="1:10" x14ac:dyDescent="0.2">
      <c r="C10" t="s">
        <v>31</v>
      </c>
      <c r="D10" t="s">
        <v>26</v>
      </c>
      <c r="E10" s="6">
        <f>I7</f>
        <v>484</v>
      </c>
      <c r="H10" t="s">
        <v>35</v>
      </c>
      <c r="I10">
        <v>340</v>
      </c>
    </row>
    <row r="11" spans="1:10" x14ac:dyDescent="0.2">
      <c r="C11" t="s">
        <v>32</v>
      </c>
      <c r="D11" t="s">
        <v>27</v>
      </c>
      <c r="E11" s="6">
        <f>I8</f>
        <v>244</v>
      </c>
      <c r="H11" t="s">
        <v>37</v>
      </c>
      <c r="I11">
        <v>336</v>
      </c>
    </row>
    <row r="12" spans="1:10" x14ac:dyDescent="0.2">
      <c r="C12" t="s">
        <v>33</v>
      </c>
      <c r="D12" t="s">
        <v>28</v>
      </c>
      <c r="E12" s="6">
        <f>I9</f>
        <v>788</v>
      </c>
      <c r="H12" t="s">
        <v>302</v>
      </c>
      <c r="I12">
        <v>330</v>
      </c>
    </row>
    <row r="13" spans="1:10" x14ac:dyDescent="0.2">
      <c r="C13" t="s">
        <v>231</v>
      </c>
      <c r="D13" t="s">
        <v>230</v>
      </c>
      <c r="E13" s="6">
        <f>I121</f>
        <v>146</v>
      </c>
      <c r="H13" t="s">
        <v>38</v>
      </c>
      <c r="I13">
        <v>748</v>
      </c>
    </row>
    <row r="14" spans="1:10" x14ac:dyDescent="0.2">
      <c r="C14" t="s">
        <v>257</v>
      </c>
      <c r="D14" t="s">
        <v>270</v>
      </c>
      <c r="E14" s="6">
        <f>I140</f>
        <v>508</v>
      </c>
      <c r="H14" t="s">
        <v>40</v>
      </c>
      <c r="I14">
        <v>176</v>
      </c>
    </row>
    <row r="15" spans="1:10" x14ac:dyDescent="0.2">
      <c r="C15" t="s">
        <v>272</v>
      </c>
      <c r="D15" t="s">
        <v>271</v>
      </c>
      <c r="E15" s="6">
        <f>I141</f>
        <v>222</v>
      </c>
      <c r="H15" t="s">
        <v>43</v>
      </c>
      <c r="I15">
        <v>150</v>
      </c>
    </row>
    <row r="16" spans="1:10" x14ac:dyDescent="0.2">
      <c r="C16" t="s">
        <v>274</v>
      </c>
      <c r="D16" t="s">
        <v>273</v>
      </c>
      <c r="E16" s="6">
        <f>I142</f>
        <v>264</v>
      </c>
      <c r="H16" s="4" t="s">
        <v>45</v>
      </c>
      <c r="I16">
        <v>228</v>
      </c>
    </row>
    <row r="17" spans="2:9" x14ac:dyDescent="0.2">
      <c r="C17" t="s">
        <v>276</v>
      </c>
      <c r="D17" t="s">
        <v>275</v>
      </c>
      <c r="E17" s="6">
        <f>I143</f>
        <v>354</v>
      </c>
      <c r="H17" t="s">
        <v>48</v>
      </c>
      <c r="I17">
        <v>38</v>
      </c>
    </row>
    <row r="18" spans="2:9" x14ac:dyDescent="0.2">
      <c r="B18" t="s">
        <v>69</v>
      </c>
      <c r="H18" t="s">
        <v>50</v>
      </c>
      <c r="I18">
        <v>82</v>
      </c>
    </row>
    <row r="19" spans="2:9" x14ac:dyDescent="0.2">
      <c r="C19" t="s">
        <v>71</v>
      </c>
      <c r="D19" t="s">
        <v>70</v>
      </c>
      <c r="E19" s="6">
        <f>I27</f>
        <v>138</v>
      </c>
      <c r="H19" t="s">
        <v>52</v>
      </c>
      <c r="I19">
        <v>26</v>
      </c>
    </row>
    <row r="20" spans="2:9" x14ac:dyDescent="0.2">
      <c r="C20" t="s">
        <v>73</v>
      </c>
      <c r="D20" t="s">
        <v>72</v>
      </c>
      <c r="E20" s="6">
        <f>I28</f>
        <v>2</v>
      </c>
      <c r="H20" t="s">
        <v>54</v>
      </c>
      <c r="I20">
        <v>8</v>
      </c>
    </row>
    <row r="21" spans="2:9" x14ac:dyDescent="0.2">
      <c r="C21" t="s">
        <v>94</v>
      </c>
      <c r="D21" t="s">
        <v>93</v>
      </c>
      <c r="E21" s="6">
        <f t="shared" ref="E21:E38" si="0">I37</f>
        <v>216</v>
      </c>
      <c r="H21" t="s">
        <v>56</v>
      </c>
      <c r="I21">
        <v>64</v>
      </c>
    </row>
    <row r="22" spans="2:9" x14ac:dyDescent="0.2">
      <c r="C22" t="s">
        <v>96</v>
      </c>
      <c r="D22" t="s">
        <v>95</v>
      </c>
      <c r="E22" s="6">
        <f t="shared" si="0"/>
        <v>176</v>
      </c>
      <c r="H22" t="s">
        <v>58</v>
      </c>
      <c r="I22">
        <v>30</v>
      </c>
    </row>
    <row r="23" spans="2:9" x14ac:dyDescent="0.2">
      <c r="C23" t="s">
        <v>98</v>
      </c>
      <c r="D23" t="s">
        <v>97</v>
      </c>
      <c r="E23" s="6">
        <f t="shared" si="0"/>
        <v>570</v>
      </c>
      <c r="H23" t="s">
        <v>60</v>
      </c>
      <c r="I23">
        <v>630</v>
      </c>
    </row>
    <row r="24" spans="2:9" x14ac:dyDescent="0.2">
      <c r="C24" t="s">
        <v>100</v>
      </c>
      <c r="D24" t="s">
        <v>99</v>
      </c>
      <c r="E24" s="6">
        <f t="shared" si="0"/>
        <v>34</v>
      </c>
      <c r="H24" t="s">
        <v>61</v>
      </c>
      <c r="I24">
        <v>1378</v>
      </c>
    </row>
    <row r="25" spans="2:9" x14ac:dyDescent="0.2">
      <c r="C25" t="s">
        <v>102</v>
      </c>
      <c r="D25" t="s">
        <v>101</v>
      </c>
      <c r="E25" s="6">
        <f t="shared" si="0"/>
        <v>190</v>
      </c>
      <c r="H25" t="s">
        <v>64</v>
      </c>
      <c r="I25">
        <v>16</v>
      </c>
    </row>
    <row r="26" spans="2:9" x14ac:dyDescent="0.2">
      <c r="C26" t="s">
        <v>104</v>
      </c>
      <c r="D26" t="s">
        <v>103</v>
      </c>
      <c r="E26" s="6">
        <f t="shared" si="0"/>
        <v>18</v>
      </c>
      <c r="H26" t="s">
        <v>66</v>
      </c>
      <c r="I26">
        <v>324</v>
      </c>
    </row>
    <row r="27" spans="2:9" x14ac:dyDescent="0.2">
      <c r="C27" t="s">
        <v>106</v>
      </c>
      <c r="D27" t="s">
        <v>105</v>
      </c>
      <c r="E27" s="6">
        <f t="shared" si="0"/>
        <v>116</v>
      </c>
      <c r="H27" t="s">
        <v>70</v>
      </c>
      <c r="I27">
        <v>138</v>
      </c>
    </row>
    <row r="28" spans="2:9" x14ac:dyDescent="0.2">
      <c r="C28" t="s">
        <v>108</v>
      </c>
      <c r="D28" t="s">
        <v>107</v>
      </c>
      <c r="E28" s="6">
        <f t="shared" si="0"/>
        <v>60</v>
      </c>
      <c r="H28" t="s">
        <v>72</v>
      </c>
      <c r="I28">
        <v>2</v>
      </c>
    </row>
    <row r="29" spans="2:9" x14ac:dyDescent="0.2">
      <c r="C29" t="s">
        <v>110</v>
      </c>
      <c r="D29" t="s">
        <v>109</v>
      </c>
      <c r="E29" s="6">
        <f t="shared" si="0"/>
        <v>344</v>
      </c>
      <c r="H29" t="s">
        <v>74</v>
      </c>
      <c r="I29">
        <v>1024</v>
      </c>
    </row>
    <row r="30" spans="2:9" x14ac:dyDescent="0.2">
      <c r="C30" t="s">
        <v>112</v>
      </c>
      <c r="D30" t="s">
        <v>111</v>
      </c>
      <c r="E30" s="6">
        <f t="shared" si="0"/>
        <v>530</v>
      </c>
      <c r="H30" t="s">
        <v>76</v>
      </c>
      <c r="I30">
        <v>18</v>
      </c>
    </row>
    <row r="31" spans="2:9" x14ac:dyDescent="0.2">
      <c r="C31" t="s">
        <v>114</v>
      </c>
      <c r="D31" t="s">
        <v>113</v>
      </c>
      <c r="E31" s="6">
        <f t="shared" si="0"/>
        <v>72</v>
      </c>
      <c r="H31" t="s">
        <v>79</v>
      </c>
      <c r="I31">
        <v>26</v>
      </c>
    </row>
    <row r="32" spans="2:9" x14ac:dyDescent="0.2">
      <c r="C32" t="s">
        <v>116</v>
      </c>
      <c r="D32" t="s">
        <v>115</v>
      </c>
      <c r="E32" s="6">
        <f t="shared" si="0"/>
        <v>66</v>
      </c>
      <c r="H32" t="s">
        <v>82</v>
      </c>
      <c r="I32">
        <v>12</v>
      </c>
    </row>
    <row r="33" spans="2:9" x14ac:dyDescent="0.2">
      <c r="C33" t="s">
        <v>118</v>
      </c>
      <c r="D33" t="s">
        <v>117</v>
      </c>
      <c r="E33" s="6">
        <f t="shared" si="0"/>
        <v>424</v>
      </c>
      <c r="H33" t="s">
        <v>84</v>
      </c>
      <c r="I33">
        <v>18</v>
      </c>
    </row>
    <row r="34" spans="2:9" x14ac:dyDescent="0.2">
      <c r="C34" t="s">
        <v>120</v>
      </c>
      <c r="D34" t="s">
        <v>119</v>
      </c>
      <c r="E34" s="6">
        <f t="shared" si="0"/>
        <v>164</v>
      </c>
      <c r="H34" t="s">
        <v>86</v>
      </c>
      <c r="I34">
        <v>110</v>
      </c>
    </row>
    <row r="35" spans="2:9" x14ac:dyDescent="0.2">
      <c r="C35" t="s">
        <v>122</v>
      </c>
      <c r="D35" t="s">
        <v>121</v>
      </c>
      <c r="E35" s="6">
        <f t="shared" si="0"/>
        <v>290</v>
      </c>
      <c r="H35" t="s">
        <v>88</v>
      </c>
      <c r="I35">
        <v>388</v>
      </c>
    </row>
    <row r="36" spans="2:9" x14ac:dyDescent="0.2">
      <c r="C36" t="s">
        <v>124</v>
      </c>
      <c r="D36" t="s">
        <v>123</v>
      </c>
      <c r="E36" s="6">
        <f t="shared" si="0"/>
        <v>30</v>
      </c>
      <c r="H36" t="s">
        <v>90</v>
      </c>
      <c r="I36">
        <v>16</v>
      </c>
    </row>
    <row r="37" spans="2:9" x14ac:dyDescent="0.2">
      <c r="C37" t="s">
        <v>126</v>
      </c>
      <c r="D37" t="s">
        <v>125</v>
      </c>
      <c r="E37" s="6">
        <f t="shared" si="0"/>
        <v>12</v>
      </c>
      <c r="H37" t="s">
        <v>93</v>
      </c>
      <c r="I37">
        <v>216</v>
      </c>
    </row>
    <row r="38" spans="2:9" x14ac:dyDescent="0.2">
      <c r="C38" t="s">
        <v>128</v>
      </c>
      <c r="D38" t="s">
        <v>127</v>
      </c>
      <c r="E38" s="6">
        <f t="shared" si="0"/>
        <v>264</v>
      </c>
      <c r="H38" t="s">
        <v>95</v>
      </c>
      <c r="I38">
        <v>176</v>
      </c>
    </row>
    <row r="39" spans="2:9" x14ac:dyDescent="0.2">
      <c r="C39" t="s">
        <v>147</v>
      </c>
      <c r="D39" t="s">
        <v>146</v>
      </c>
      <c r="E39" s="6">
        <f t="shared" ref="E39:E45" si="1">I64</f>
        <v>44</v>
      </c>
      <c r="H39" t="s">
        <v>97</v>
      </c>
      <c r="I39">
        <v>570</v>
      </c>
    </row>
    <row r="40" spans="2:9" x14ac:dyDescent="0.2">
      <c r="C40" t="s">
        <v>149</v>
      </c>
      <c r="D40" t="s">
        <v>148</v>
      </c>
      <c r="E40" s="6">
        <f t="shared" si="1"/>
        <v>66</v>
      </c>
      <c r="H40" t="s">
        <v>99</v>
      </c>
      <c r="I40">
        <v>34</v>
      </c>
    </row>
    <row r="41" spans="2:9" x14ac:dyDescent="0.2">
      <c r="C41" t="s">
        <v>151</v>
      </c>
      <c r="D41" t="s">
        <v>150</v>
      </c>
      <c r="E41" s="6">
        <f t="shared" si="1"/>
        <v>344</v>
      </c>
      <c r="H41" t="s">
        <v>101</v>
      </c>
      <c r="I41">
        <v>190</v>
      </c>
    </row>
    <row r="42" spans="2:9" x14ac:dyDescent="0.2">
      <c r="C42" t="s">
        <v>153</v>
      </c>
      <c r="D42" t="s">
        <v>152</v>
      </c>
      <c r="E42" s="6">
        <f t="shared" si="1"/>
        <v>134</v>
      </c>
      <c r="H42" t="s">
        <v>103</v>
      </c>
      <c r="I42">
        <v>18</v>
      </c>
    </row>
    <row r="43" spans="2:9" x14ac:dyDescent="0.2">
      <c r="C43" t="s">
        <v>155</v>
      </c>
      <c r="D43" t="s">
        <v>154</v>
      </c>
      <c r="E43" s="6">
        <f t="shared" si="1"/>
        <v>268</v>
      </c>
      <c r="H43" t="s">
        <v>105</v>
      </c>
      <c r="I43">
        <v>116</v>
      </c>
    </row>
    <row r="44" spans="2:9" x14ac:dyDescent="0.2">
      <c r="C44" t="s">
        <v>157</v>
      </c>
      <c r="D44" t="s">
        <v>156</v>
      </c>
      <c r="E44" s="6">
        <f t="shared" si="1"/>
        <v>66</v>
      </c>
      <c r="H44" t="s">
        <v>107</v>
      </c>
      <c r="I44">
        <v>60</v>
      </c>
    </row>
    <row r="45" spans="2:9" x14ac:dyDescent="0.2">
      <c r="C45" t="s">
        <v>159</v>
      </c>
      <c r="D45" t="s">
        <v>158</v>
      </c>
      <c r="E45" s="6">
        <f t="shared" si="1"/>
        <v>102</v>
      </c>
      <c r="H45" t="s">
        <v>109</v>
      </c>
      <c r="I45">
        <v>344</v>
      </c>
    </row>
    <row r="46" spans="2:9" x14ac:dyDescent="0.2">
      <c r="C46" t="s">
        <v>278</v>
      </c>
      <c r="D46" t="s">
        <v>277</v>
      </c>
      <c r="E46" s="6">
        <f>I144</f>
        <v>504</v>
      </c>
      <c r="H46" t="s">
        <v>111</v>
      </c>
      <c r="I46">
        <v>530</v>
      </c>
    </row>
    <row r="47" spans="2:9" x14ac:dyDescent="0.2">
      <c r="C47" t="s">
        <v>280</v>
      </c>
      <c r="D47" t="s">
        <v>279</v>
      </c>
      <c r="E47" s="6">
        <f>I145</f>
        <v>2</v>
      </c>
      <c r="H47" t="s">
        <v>113</v>
      </c>
      <c r="I47">
        <v>72</v>
      </c>
    </row>
    <row r="48" spans="2:9" x14ac:dyDescent="0.2">
      <c r="B48" t="s">
        <v>131</v>
      </c>
      <c r="H48" t="s">
        <v>115</v>
      </c>
      <c r="I48">
        <v>66</v>
      </c>
    </row>
    <row r="49" spans="2:9" x14ac:dyDescent="0.2">
      <c r="C49" t="s">
        <v>130</v>
      </c>
      <c r="D49" t="s">
        <v>129</v>
      </c>
      <c r="E49" s="6">
        <f>I55</f>
        <v>56</v>
      </c>
      <c r="H49" t="s">
        <v>117</v>
      </c>
      <c r="I49">
        <v>424</v>
      </c>
    </row>
    <row r="50" spans="2:9" x14ac:dyDescent="0.2">
      <c r="C50" t="s">
        <v>133</v>
      </c>
      <c r="D50" t="s">
        <v>132</v>
      </c>
      <c r="E50" s="6">
        <f>I56</f>
        <v>152</v>
      </c>
      <c r="H50" t="s">
        <v>119</v>
      </c>
      <c r="I50">
        <v>164</v>
      </c>
    </row>
    <row r="51" spans="2:9" x14ac:dyDescent="0.2">
      <c r="B51" t="s">
        <v>29</v>
      </c>
      <c r="H51" t="s">
        <v>121</v>
      </c>
      <c r="I51">
        <v>290</v>
      </c>
    </row>
    <row r="52" spans="2:9" x14ac:dyDescent="0.2">
      <c r="C52" t="s">
        <v>34</v>
      </c>
      <c r="D52" t="s">
        <v>35</v>
      </c>
      <c r="E52" s="6">
        <f>I10</f>
        <v>340</v>
      </c>
      <c r="H52" t="s">
        <v>123</v>
      </c>
      <c r="I52">
        <v>30</v>
      </c>
    </row>
    <row r="53" spans="2:9" x14ac:dyDescent="0.2">
      <c r="C53" t="s">
        <v>36</v>
      </c>
      <c r="D53" t="s">
        <v>37</v>
      </c>
      <c r="E53" s="6">
        <f>I11</f>
        <v>336</v>
      </c>
      <c r="H53" t="s">
        <v>125</v>
      </c>
      <c r="I53">
        <v>12</v>
      </c>
    </row>
    <row r="54" spans="2:9" x14ac:dyDescent="0.2">
      <c r="C54" t="s">
        <v>36</v>
      </c>
      <c r="D54" t="s">
        <v>302</v>
      </c>
      <c r="E54" s="6">
        <f>I12</f>
        <v>330</v>
      </c>
      <c r="H54" t="s">
        <v>127</v>
      </c>
      <c r="I54">
        <v>264</v>
      </c>
    </row>
    <row r="55" spans="2:9" x14ac:dyDescent="0.2">
      <c r="C55" t="s">
        <v>39</v>
      </c>
      <c r="D55" t="s">
        <v>38</v>
      </c>
      <c r="E55" s="6">
        <f>I13</f>
        <v>748</v>
      </c>
      <c r="H55" t="s">
        <v>129</v>
      </c>
      <c r="I55">
        <v>56</v>
      </c>
    </row>
    <row r="56" spans="2:9" x14ac:dyDescent="0.2">
      <c r="C56" t="s">
        <v>41</v>
      </c>
      <c r="D56" t="s">
        <v>40</v>
      </c>
      <c r="E56" s="6">
        <f>I14</f>
        <v>176</v>
      </c>
      <c r="H56" t="s">
        <v>132</v>
      </c>
      <c r="I56">
        <v>152</v>
      </c>
    </row>
    <row r="57" spans="2:9" x14ac:dyDescent="0.2">
      <c r="C57" t="s">
        <v>75</v>
      </c>
      <c r="D57" t="s">
        <v>74</v>
      </c>
      <c r="E57" s="6">
        <f>I29</f>
        <v>1024</v>
      </c>
      <c r="H57" t="s">
        <v>134</v>
      </c>
      <c r="I57">
        <v>284</v>
      </c>
    </row>
    <row r="58" spans="2:9" x14ac:dyDescent="0.2">
      <c r="C58" t="s">
        <v>102</v>
      </c>
      <c r="D58" t="s">
        <v>134</v>
      </c>
      <c r="E58" s="6">
        <f>I57</f>
        <v>284</v>
      </c>
      <c r="H58" t="s">
        <v>135</v>
      </c>
      <c r="I58">
        <v>34</v>
      </c>
    </row>
    <row r="59" spans="2:9" x14ac:dyDescent="0.2">
      <c r="C59" t="s">
        <v>274</v>
      </c>
      <c r="D59" t="s">
        <v>281</v>
      </c>
      <c r="E59" s="6">
        <f t="shared" ref="E59:E64" si="2">I146</f>
        <v>104</v>
      </c>
      <c r="H59" t="s">
        <v>138</v>
      </c>
      <c r="I59">
        <v>308</v>
      </c>
    </row>
    <row r="60" spans="2:9" x14ac:dyDescent="0.2">
      <c r="C60" t="s">
        <v>283</v>
      </c>
      <c r="D60" t="s">
        <v>282</v>
      </c>
      <c r="E60" s="6">
        <f t="shared" si="2"/>
        <v>408</v>
      </c>
      <c r="H60" t="s">
        <v>140</v>
      </c>
      <c r="I60">
        <v>724</v>
      </c>
    </row>
    <row r="61" spans="2:9" x14ac:dyDescent="0.2">
      <c r="C61" t="s">
        <v>285</v>
      </c>
      <c r="D61" t="s">
        <v>284</v>
      </c>
      <c r="E61" s="6">
        <f t="shared" si="2"/>
        <v>298</v>
      </c>
      <c r="H61" t="s">
        <v>142</v>
      </c>
      <c r="I61">
        <v>842</v>
      </c>
    </row>
    <row r="62" spans="2:9" x14ac:dyDescent="0.2">
      <c r="C62" t="s">
        <v>287</v>
      </c>
      <c r="D62" t="s">
        <v>286</v>
      </c>
      <c r="E62" s="6">
        <f t="shared" si="2"/>
        <v>132</v>
      </c>
      <c r="H62" t="s">
        <v>143</v>
      </c>
      <c r="I62">
        <v>10</v>
      </c>
    </row>
    <row r="63" spans="2:9" x14ac:dyDescent="0.2">
      <c r="C63" t="s">
        <v>289</v>
      </c>
      <c r="D63" t="s">
        <v>288</v>
      </c>
      <c r="E63" s="6">
        <f t="shared" si="2"/>
        <v>102</v>
      </c>
      <c r="H63" t="s">
        <v>144</v>
      </c>
      <c r="I63">
        <v>10</v>
      </c>
    </row>
    <row r="64" spans="2:9" x14ac:dyDescent="0.2">
      <c r="C64" t="s">
        <v>291</v>
      </c>
      <c r="D64" t="s">
        <v>290</v>
      </c>
      <c r="E64" s="6">
        <f t="shared" si="2"/>
        <v>168</v>
      </c>
      <c r="H64" t="s">
        <v>146</v>
      </c>
      <c r="I64">
        <v>44</v>
      </c>
    </row>
    <row r="65" spans="2:9" x14ac:dyDescent="0.2">
      <c r="B65" t="s">
        <v>234</v>
      </c>
      <c r="H65" t="s">
        <v>148</v>
      </c>
      <c r="I65">
        <v>66</v>
      </c>
    </row>
    <row r="66" spans="2:9" x14ac:dyDescent="0.2">
      <c r="C66" t="s">
        <v>233</v>
      </c>
      <c r="D66" t="s">
        <v>232</v>
      </c>
      <c r="E66" s="6">
        <f>I122</f>
        <v>16</v>
      </c>
      <c r="H66" t="s">
        <v>150</v>
      </c>
      <c r="I66">
        <v>344</v>
      </c>
    </row>
    <row r="67" spans="2:9" x14ac:dyDescent="0.2">
      <c r="B67" t="s">
        <v>162</v>
      </c>
      <c r="H67" t="s">
        <v>152</v>
      </c>
      <c r="I67">
        <v>134</v>
      </c>
    </row>
    <row r="68" spans="2:9" x14ac:dyDescent="0.2">
      <c r="C68" t="s">
        <v>161</v>
      </c>
      <c r="D68" t="s">
        <v>160</v>
      </c>
      <c r="E68" s="6">
        <f>I71</f>
        <v>18</v>
      </c>
      <c r="H68" t="s">
        <v>154</v>
      </c>
      <c r="I68">
        <v>268</v>
      </c>
    </row>
    <row r="69" spans="2:9" x14ac:dyDescent="0.2">
      <c r="C69" t="s">
        <v>164</v>
      </c>
      <c r="D69" t="s">
        <v>163</v>
      </c>
      <c r="E69" s="6">
        <f>I72</f>
        <v>152</v>
      </c>
      <c r="H69" t="s">
        <v>156</v>
      </c>
      <c r="I69">
        <v>66</v>
      </c>
    </row>
    <row r="70" spans="2:9" x14ac:dyDescent="0.2">
      <c r="B70" t="s">
        <v>42</v>
      </c>
      <c r="H70" t="s">
        <v>158</v>
      </c>
      <c r="I70">
        <v>102</v>
      </c>
    </row>
    <row r="71" spans="2:9" x14ac:dyDescent="0.2">
      <c r="C71" t="s">
        <v>44</v>
      </c>
      <c r="D71" t="s">
        <v>43</v>
      </c>
      <c r="E71" s="6">
        <f>I15</f>
        <v>150</v>
      </c>
      <c r="H71" t="s">
        <v>160</v>
      </c>
      <c r="I71">
        <v>18</v>
      </c>
    </row>
    <row r="72" spans="2:9" x14ac:dyDescent="0.2">
      <c r="C72" t="s">
        <v>46</v>
      </c>
      <c r="D72" t="s">
        <v>45</v>
      </c>
      <c r="E72" s="6">
        <f>I16</f>
        <v>228</v>
      </c>
      <c r="H72" t="s">
        <v>163</v>
      </c>
      <c r="I72">
        <v>152</v>
      </c>
    </row>
    <row r="73" spans="2:9" x14ac:dyDescent="0.2">
      <c r="C73" t="s">
        <v>293</v>
      </c>
      <c r="D73" t="s">
        <v>292</v>
      </c>
      <c r="E73" s="6">
        <f>I152</f>
        <v>164</v>
      </c>
      <c r="H73" t="s">
        <v>165</v>
      </c>
      <c r="I73">
        <v>40</v>
      </c>
    </row>
    <row r="74" spans="2:9" x14ac:dyDescent="0.2">
      <c r="C74" t="s">
        <v>295</v>
      </c>
      <c r="D74" t="s">
        <v>294</v>
      </c>
      <c r="E74" s="6">
        <f>I153</f>
        <v>182</v>
      </c>
      <c r="H74" t="s">
        <v>168</v>
      </c>
      <c r="I74">
        <v>20</v>
      </c>
    </row>
    <row r="75" spans="2:9" x14ac:dyDescent="0.2">
      <c r="B75" t="s">
        <v>137</v>
      </c>
      <c r="H75" t="s">
        <v>170</v>
      </c>
      <c r="I75">
        <v>60</v>
      </c>
    </row>
    <row r="76" spans="2:9" x14ac:dyDescent="0.2">
      <c r="C76" t="s">
        <v>136</v>
      </c>
      <c r="D76" t="s">
        <v>135</v>
      </c>
      <c r="E76" s="6">
        <f>I58</f>
        <v>34</v>
      </c>
      <c r="H76" t="s">
        <v>172</v>
      </c>
      <c r="I76">
        <v>60</v>
      </c>
    </row>
    <row r="77" spans="2:9" x14ac:dyDescent="0.2">
      <c r="C77" t="s">
        <v>139</v>
      </c>
      <c r="D77" t="s">
        <v>138</v>
      </c>
      <c r="E77" s="6">
        <f>I59</f>
        <v>308</v>
      </c>
      <c r="H77" t="s">
        <v>174</v>
      </c>
      <c r="I77">
        <v>28</v>
      </c>
    </row>
    <row r="78" spans="2:9" x14ac:dyDescent="0.2">
      <c r="C78" t="s">
        <v>141</v>
      </c>
      <c r="D78" t="s">
        <v>140</v>
      </c>
      <c r="E78" s="6">
        <f>I60</f>
        <v>724</v>
      </c>
      <c r="H78" t="s">
        <v>176</v>
      </c>
      <c r="I78">
        <v>78</v>
      </c>
    </row>
    <row r="79" spans="2:9" x14ac:dyDescent="0.2">
      <c r="C79" t="s">
        <v>96</v>
      </c>
      <c r="D79" t="s">
        <v>142</v>
      </c>
      <c r="E79" s="6">
        <f>I61</f>
        <v>842</v>
      </c>
      <c r="H79" t="s">
        <v>178</v>
      </c>
      <c r="I79">
        <v>72</v>
      </c>
    </row>
    <row r="80" spans="2:9" x14ac:dyDescent="0.2">
      <c r="C80" t="s">
        <v>236</v>
      </c>
      <c r="D80" t="s">
        <v>235</v>
      </c>
      <c r="E80" s="6">
        <f t="shared" ref="E80:E86" si="3">I123</f>
        <v>116</v>
      </c>
      <c r="H80" t="s">
        <v>182</v>
      </c>
      <c r="I80">
        <v>48</v>
      </c>
    </row>
    <row r="81" spans="2:9" x14ac:dyDescent="0.2">
      <c r="C81" t="s">
        <v>236</v>
      </c>
      <c r="D81" t="s">
        <v>237</v>
      </c>
      <c r="E81" s="6">
        <f t="shared" si="3"/>
        <v>10</v>
      </c>
      <c r="H81" t="s">
        <v>183</v>
      </c>
      <c r="I81">
        <v>48</v>
      </c>
    </row>
    <row r="82" spans="2:9" x14ac:dyDescent="0.2">
      <c r="C82" t="s">
        <v>239</v>
      </c>
      <c r="D82" t="s">
        <v>238</v>
      </c>
      <c r="E82" s="6">
        <f t="shared" si="3"/>
        <v>12</v>
      </c>
      <c r="H82" t="s">
        <v>184</v>
      </c>
      <c r="I82">
        <v>82</v>
      </c>
    </row>
    <row r="83" spans="2:9" x14ac:dyDescent="0.2">
      <c r="C83" t="s">
        <v>241</v>
      </c>
      <c r="D83" t="s">
        <v>240</v>
      </c>
      <c r="E83" s="6">
        <f t="shared" si="3"/>
        <v>12</v>
      </c>
      <c r="H83" t="s">
        <v>186</v>
      </c>
      <c r="I83">
        <v>176</v>
      </c>
    </row>
    <row r="84" spans="2:9" x14ac:dyDescent="0.2">
      <c r="C84" t="s">
        <v>243</v>
      </c>
      <c r="D84" t="s">
        <v>242</v>
      </c>
      <c r="E84" s="6">
        <f t="shared" si="3"/>
        <v>12</v>
      </c>
      <c r="H84" t="s">
        <v>187</v>
      </c>
      <c r="I84">
        <v>14</v>
      </c>
    </row>
    <row r="85" spans="2:9" x14ac:dyDescent="0.2">
      <c r="C85" t="s">
        <v>245</v>
      </c>
      <c r="D85" t="s">
        <v>244</v>
      </c>
      <c r="E85" s="6">
        <f t="shared" si="3"/>
        <v>166</v>
      </c>
      <c r="H85" t="s">
        <v>190</v>
      </c>
      <c r="I85">
        <v>28</v>
      </c>
    </row>
    <row r="86" spans="2:9" x14ac:dyDescent="0.2">
      <c r="C86" t="s">
        <v>247</v>
      </c>
      <c r="D86" t="s">
        <v>246</v>
      </c>
      <c r="E86" s="6">
        <f t="shared" si="3"/>
        <v>166</v>
      </c>
      <c r="H86" t="s">
        <v>191</v>
      </c>
      <c r="I86">
        <v>22</v>
      </c>
    </row>
    <row r="87" spans="2:9" x14ac:dyDescent="0.2">
      <c r="B87" t="s">
        <v>78</v>
      </c>
      <c r="H87" t="s">
        <v>192</v>
      </c>
      <c r="I87">
        <v>130</v>
      </c>
    </row>
    <row r="88" spans="2:9" x14ac:dyDescent="0.2">
      <c r="C88" t="s">
        <v>77</v>
      </c>
      <c r="D88" t="s">
        <v>76</v>
      </c>
      <c r="E88" s="6">
        <f>I30</f>
        <v>18</v>
      </c>
      <c r="H88" t="s">
        <v>194</v>
      </c>
      <c r="I88">
        <v>128</v>
      </c>
    </row>
    <row r="89" spans="2:9" x14ac:dyDescent="0.2">
      <c r="C89" t="s">
        <v>297</v>
      </c>
      <c r="D89" t="s">
        <v>296</v>
      </c>
      <c r="E89" s="6">
        <f>I154</f>
        <v>158</v>
      </c>
      <c r="H89" t="s">
        <v>195</v>
      </c>
      <c r="I89">
        <v>336</v>
      </c>
    </row>
    <row r="90" spans="2:9" x14ac:dyDescent="0.2">
      <c r="B90" t="s">
        <v>47</v>
      </c>
      <c r="H90" t="s">
        <v>196</v>
      </c>
      <c r="I90">
        <v>64</v>
      </c>
    </row>
    <row r="91" spans="2:9" x14ac:dyDescent="0.2">
      <c r="C91" t="s">
        <v>49</v>
      </c>
      <c r="D91" t="s">
        <v>48</v>
      </c>
      <c r="E91" s="6">
        <f>I17</f>
        <v>38</v>
      </c>
      <c r="H91" t="s">
        <v>197</v>
      </c>
      <c r="I91">
        <v>60</v>
      </c>
    </row>
    <row r="92" spans="2:9" x14ac:dyDescent="0.2">
      <c r="C92" t="s">
        <v>51</v>
      </c>
      <c r="D92" t="s">
        <v>50</v>
      </c>
      <c r="E92" s="6">
        <f>I18</f>
        <v>82</v>
      </c>
      <c r="H92" t="s">
        <v>199</v>
      </c>
      <c r="I92">
        <v>64</v>
      </c>
    </row>
    <row r="93" spans="2:9" x14ac:dyDescent="0.2">
      <c r="C93" t="s">
        <v>53</v>
      </c>
      <c r="D93" t="s">
        <v>52</v>
      </c>
      <c r="E93" s="6">
        <f>I19</f>
        <v>26</v>
      </c>
      <c r="H93" t="s">
        <v>200</v>
      </c>
      <c r="I93">
        <v>56</v>
      </c>
    </row>
    <row r="94" spans="2:9" x14ac:dyDescent="0.2">
      <c r="C94" t="s">
        <v>55</v>
      </c>
      <c r="D94" t="s">
        <v>54</v>
      </c>
      <c r="E94" s="6">
        <f>I20</f>
        <v>8</v>
      </c>
      <c r="H94" t="s">
        <v>201</v>
      </c>
      <c r="I94">
        <v>142</v>
      </c>
    </row>
    <row r="95" spans="2:9" x14ac:dyDescent="0.2">
      <c r="C95" t="s">
        <v>17</v>
      </c>
      <c r="D95" t="s">
        <v>56</v>
      </c>
      <c r="E95" s="6">
        <f>I21</f>
        <v>64</v>
      </c>
      <c r="H95" t="s">
        <v>202</v>
      </c>
      <c r="I95">
        <v>2</v>
      </c>
    </row>
    <row r="96" spans="2:9" x14ac:dyDescent="0.2">
      <c r="C96" t="s">
        <v>91</v>
      </c>
      <c r="D96" t="s">
        <v>143</v>
      </c>
      <c r="E96" s="6">
        <f>I62</f>
        <v>10</v>
      </c>
      <c r="H96" t="s">
        <v>203</v>
      </c>
      <c r="I96">
        <v>2</v>
      </c>
    </row>
    <row r="97" spans="2:9" x14ac:dyDescent="0.2">
      <c r="C97" t="s">
        <v>145</v>
      </c>
      <c r="D97" t="s">
        <v>144</v>
      </c>
      <c r="E97" s="6">
        <f>I63</f>
        <v>10</v>
      </c>
      <c r="H97" t="s">
        <v>204</v>
      </c>
      <c r="I97">
        <v>106</v>
      </c>
    </row>
    <row r="98" spans="2:9" x14ac:dyDescent="0.2">
      <c r="C98" t="s">
        <v>249</v>
      </c>
      <c r="D98" t="s">
        <v>248</v>
      </c>
      <c r="E98" s="6">
        <f>I130</f>
        <v>10</v>
      </c>
      <c r="H98" t="s">
        <v>205</v>
      </c>
      <c r="I98">
        <v>114</v>
      </c>
    </row>
    <row r="99" spans="2:9" x14ac:dyDescent="0.2">
      <c r="C99" t="s">
        <v>251</v>
      </c>
      <c r="D99" t="s">
        <v>250</v>
      </c>
      <c r="E99" s="6">
        <f>I131</f>
        <v>10</v>
      </c>
      <c r="H99" t="s">
        <v>206</v>
      </c>
      <c r="I99">
        <v>454</v>
      </c>
    </row>
    <row r="100" spans="2:9" x14ac:dyDescent="0.2">
      <c r="C100" t="s">
        <v>297</v>
      </c>
      <c r="D100" t="s">
        <v>298</v>
      </c>
      <c r="E100" s="6">
        <f>I155</f>
        <v>100</v>
      </c>
      <c r="H100" t="s">
        <v>207</v>
      </c>
      <c r="I100">
        <v>86</v>
      </c>
    </row>
    <row r="101" spans="2:9" x14ac:dyDescent="0.2">
      <c r="C101" t="s">
        <v>300</v>
      </c>
      <c r="D101" t="s">
        <v>299</v>
      </c>
      <c r="E101" s="6">
        <f>I156</f>
        <v>28</v>
      </c>
      <c r="H101" t="s">
        <v>208</v>
      </c>
      <c r="I101">
        <v>62</v>
      </c>
    </row>
    <row r="102" spans="2:9" x14ac:dyDescent="0.2">
      <c r="C102" t="s">
        <v>274</v>
      </c>
      <c r="D102" t="s">
        <v>301</v>
      </c>
      <c r="E102" s="6">
        <f>I157</f>
        <v>42</v>
      </c>
      <c r="H102" t="s">
        <v>210</v>
      </c>
      <c r="I102">
        <v>84</v>
      </c>
    </row>
    <row r="103" spans="2:9" x14ac:dyDescent="0.2">
      <c r="B103" t="s">
        <v>81</v>
      </c>
      <c r="H103" t="s">
        <v>211</v>
      </c>
      <c r="I103">
        <v>18</v>
      </c>
    </row>
    <row r="104" spans="2:9" x14ac:dyDescent="0.2">
      <c r="C104" t="s">
        <v>80</v>
      </c>
      <c r="D104" t="s">
        <v>79</v>
      </c>
      <c r="E104" s="6">
        <f>I31</f>
        <v>26</v>
      </c>
      <c r="H104" t="s">
        <v>212</v>
      </c>
      <c r="I104">
        <v>232</v>
      </c>
    </row>
    <row r="105" spans="2:9" x14ac:dyDescent="0.2">
      <c r="C105" t="s">
        <v>83</v>
      </c>
      <c r="D105" t="s">
        <v>82</v>
      </c>
      <c r="E105" s="6">
        <f>I32</f>
        <v>12</v>
      </c>
      <c r="H105" t="s">
        <v>213</v>
      </c>
      <c r="I105">
        <v>160</v>
      </c>
    </row>
    <row r="106" spans="2:9" x14ac:dyDescent="0.2">
      <c r="C106" t="s">
        <v>85</v>
      </c>
      <c r="D106" t="s">
        <v>84</v>
      </c>
      <c r="E106" s="6">
        <f>I33</f>
        <v>18</v>
      </c>
      <c r="H106" t="s">
        <v>214</v>
      </c>
      <c r="I106">
        <v>34</v>
      </c>
    </row>
    <row r="107" spans="2:9" x14ac:dyDescent="0.2">
      <c r="C107" t="s">
        <v>87</v>
      </c>
      <c r="D107" t="s">
        <v>86</v>
      </c>
      <c r="E107" s="6">
        <f>I34</f>
        <v>110</v>
      </c>
      <c r="H107" t="s">
        <v>215</v>
      </c>
      <c r="I107">
        <v>142</v>
      </c>
    </row>
    <row r="108" spans="2:9" x14ac:dyDescent="0.2">
      <c r="C108" t="s">
        <v>89</v>
      </c>
      <c r="D108" t="s">
        <v>88</v>
      </c>
      <c r="E108" s="6">
        <f>I35</f>
        <v>388</v>
      </c>
      <c r="H108" t="s">
        <v>216</v>
      </c>
      <c r="I108">
        <v>24</v>
      </c>
    </row>
    <row r="109" spans="2:9" x14ac:dyDescent="0.2">
      <c r="B109" t="s">
        <v>57</v>
      </c>
      <c r="H109" t="s">
        <v>217</v>
      </c>
      <c r="I109">
        <v>72</v>
      </c>
    </row>
    <row r="110" spans="2:9" x14ac:dyDescent="0.2">
      <c r="C110" t="s">
        <v>59</v>
      </c>
      <c r="D110" t="s">
        <v>58</v>
      </c>
      <c r="E110" s="6">
        <f>I22</f>
        <v>30</v>
      </c>
      <c r="H110" t="s">
        <v>218</v>
      </c>
      <c r="I110">
        <v>126</v>
      </c>
    </row>
    <row r="111" spans="2:9" x14ac:dyDescent="0.2">
      <c r="B111" t="s">
        <v>167</v>
      </c>
      <c r="H111" t="s">
        <v>219</v>
      </c>
      <c r="I111">
        <v>12</v>
      </c>
    </row>
    <row r="112" spans="2:9" x14ac:dyDescent="0.2">
      <c r="B112" t="s">
        <v>166</v>
      </c>
      <c r="H112" t="s">
        <v>220</v>
      </c>
      <c r="I112">
        <v>68</v>
      </c>
    </row>
    <row r="113" spans="1:9" x14ac:dyDescent="0.2">
      <c r="C113" t="s">
        <v>164</v>
      </c>
      <c r="D113" t="s">
        <v>165</v>
      </c>
      <c r="E113" s="6">
        <f t="shared" ref="E113:E118" si="4">I73</f>
        <v>40</v>
      </c>
      <c r="H113" t="s">
        <v>221</v>
      </c>
      <c r="I113">
        <v>24</v>
      </c>
    </row>
    <row r="114" spans="1:9" x14ac:dyDescent="0.2">
      <c r="C114" t="s">
        <v>169</v>
      </c>
      <c r="D114" t="s">
        <v>168</v>
      </c>
      <c r="E114" s="6">
        <f t="shared" si="4"/>
        <v>20</v>
      </c>
      <c r="H114" t="s">
        <v>222</v>
      </c>
      <c r="I114">
        <v>104</v>
      </c>
    </row>
    <row r="115" spans="1:9" x14ac:dyDescent="0.2">
      <c r="C115" t="s">
        <v>171</v>
      </c>
      <c r="D115" t="s">
        <v>170</v>
      </c>
      <c r="E115" s="6">
        <f t="shared" si="4"/>
        <v>60</v>
      </c>
      <c r="H115" t="s">
        <v>223</v>
      </c>
      <c r="I115">
        <v>68</v>
      </c>
    </row>
    <row r="116" spans="1:9" x14ac:dyDescent="0.2">
      <c r="C116" t="s">
        <v>173</v>
      </c>
      <c r="D116" t="s">
        <v>172</v>
      </c>
      <c r="E116" s="6">
        <f t="shared" si="4"/>
        <v>60</v>
      </c>
      <c r="H116" t="s">
        <v>224</v>
      </c>
      <c r="I116">
        <v>44</v>
      </c>
    </row>
    <row r="117" spans="1:9" x14ac:dyDescent="0.2">
      <c r="C117" t="s">
        <v>175</v>
      </c>
      <c r="D117" t="s">
        <v>174</v>
      </c>
      <c r="E117" s="6">
        <f t="shared" si="4"/>
        <v>28</v>
      </c>
      <c r="H117" t="s">
        <v>225</v>
      </c>
      <c r="I117">
        <v>42</v>
      </c>
    </row>
    <row r="118" spans="1:9" x14ac:dyDescent="0.2">
      <c r="C118" t="s">
        <v>177</v>
      </c>
      <c r="D118" t="s">
        <v>176</v>
      </c>
      <c r="E118" s="6">
        <f t="shared" si="4"/>
        <v>78</v>
      </c>
      <c r="H118" t="s">
        <v>226</v>
      </c>
      <c r="I118">
        <v>198</v>
      </c>
    </row>
    <row r="119" spans="1:9" x14ac:dyDescent="0.2">
      <c r="C119" t="s">
        <v>253</v>
      </c>
      <c r="D119" t="s">
        <v>252</v>
      </c>
      <c r="E119" s="6">
        <f>I132</f>
        <v>10</v>
      </c>
      <c r="H119" t="s">
        <v>227</v>
      </c>
      <c r="I119">
        <v>20</v>
      </c>
    </row>
    <row r="120" spans="1:9" x14ac:dyDescent="0.2">
      <c r="C120" t="s">
        <v>255</v>
      </c>
      <c r="D120" t="s">
        <v>254</v>
      </c>
      <c r="E120" s="6">
        <f>I133</f>
        <v>10</v>
      </c>
      <c r="H120" t="s">
        <v>228</v>
      </c>
      <c r="I120">
        <v>144</v>
      </c>
    </row>
    <row r="121" spans="1:9" x14ac:dyDescent="0.2">
      <c r="A121" t="s">
        <v>181</v>
      </c>
      <c r="H121" t="s">
        <v>230</v>
      </c>
      <c r="I121">
        <v>146</v>
      </c>
    </row>
    <row r="122" spans="1:9" x14ac:dyDescent="0.2">
      <c r="B122" t="s">
        <v>180</v>
      </c>
      <c r="H122" t="s">
        <v>232</v>
      </c>
      <c r="I122">
        <v>16</v>
      </c>
    </row>
    <row r="123" spans="1:9" x14ac:dyDescent="0.2">
      <c r="C123" t="s">
        <v>179</v>
      </c>
      <c r="D123" t="s">
        <v>178</v>
      </c>
      <c r="E123" s="6">
        <f>I79</f>
        <v>72</v>
      </c>
      <c r="H123" t="s">
        <v>235</v>
      </c>
      <c r="I123">
        <v>116</v>
      </c>
    </row>
    <row r="124" spans="1:9" x14ac:dyDescent="0.2">
      <c r="C124" t="s">
        <v>179</v>
      </c>
      <c r="D124" t="s">
        <v>182</v>
      </c>
      <c r="E124" s="6">
        <f>I80</f>
        <v>48</v>
      </c>
      <c r="H124" t="s">
        <v>237</v>
      </c>
      <c r="I124">
        <v>10</v>
      </c>
    </row>
    <row r="125" spans="1:9" x14ac:dyDescent="0.2">
      <c r="C125" t="s">
        <v>179</v>
      </c>
      <c r="D125" t="s">
        <v>183</v>
      </c>
      <c r="E125" s="6">
        <f>I81</f>
        <v>48</v>
      </c>
      <c r="H125" t="s">
        <v>238</v>
      </c>
      <c r="I125">
        <v>12</v>
      </c>
    </row>
    <row r="126" spans="1:9" x14ac:dyDescent="0.2">
      <c r="B126" t="s">
        <v>185</v>
      </c>
      <c r="H126" t="s">
        <v>240</v>
      </c>
      <c r="I126">
        <v>12</v>
      </c>
    </row>
    <row r="127" spans="1:9" x14ac:dyDescent="0.2">
      <c r="C127" t="s">
        <v>179</v>
      </c>
      <c r="D127" t="s">
        <v>184</v>
      </c>
      <c r="E127" s="6">
        <f>I82</f>
        <v>82</v>
      </c>
      <c r="H127" t="s">
        <v>242</v>
      </c>
      <c r="I127">
        <v>12</v>
      </c>
    </row>
    <row r="128" spans="1:9" x14ac:dyDescent="0.2">
      <c r="C128" t="s">
        <v>179</v>
      </c>
      <c r="D128" t="s">
        <v>186</v>
      </c>
      <c r="E128" s="6">
        <f>I83</f>
        <v>176</v>
      </c>
      <c r="H128" t="s">
        <v>244</v>
      </c>
      <c r="I128">
        <v>166</v>
      </c>
    </row>
    <row r="129" spans="2:9" x14ac:dyDescent="0.2">
      <c r="B129" t="s">
        <v>189</v>
      </c>
      <c r="H129" t="s">
        <v>246</v>
      </c>
      <c r="I129">
        <v>166</v>
      </c>
    </row>
    <row r="130" spans="2:9" x14ac:dyDescent="0.2">
      <c r="B130" t="s">
        <v>188</v>
      </c>
      <c r="H130" t="s">
        <v>248</v>
      </c>
      <c r="I130">
        <v>10</v>
      </c>
    </row>
    <row r="131" spans="2:9" x14ac:dyDescent="0.2">
      <c r="C131" t="s">
        <v>179</v>
      </c>
      <c r="D131" t="s">
        <v>187</v>
      </c>
      <c r="E131" s="6">
        <f>I84</f>
        <v>14</v>
      </c>
      <c r="H131" t="s">
        <v>250</v>
      </c>
      <c r="I131">
        <v>10</v>
      </c>
    </row>
    <row r="132" spans="2:9" x14ac:dyDescent="0.2">
      <c r="C132" t="s">
        <v>179</v>
      </c>
      <c r="D132" t="s">
        <v>190</v>
      </c>
      <c r="E132" s="6">
        <f>I85</f>
        <v>28</v>
      </c>
      <c r="H132" t="s">
        <v>252</v>
      </c>
      <c r="I132">
        <v>10</v>
      </c>
    </row>
    <row r="133" spans="2:9" x14ac:dyDescent="0.2">
      <c r="C133" t="s">
        <v>179</v>
      </c>
      <c r="D133" t="s">
        <v>191</v>
      </c>
      <c r="E133" s="6">
        <f>I86</f>
        <v>22</v>
      </c>
      <c r="H133" t="s">
        <v>254</v>
      </c>
      <c r="I133">
        <v>10</v>
      </c>
    </row>
    <row r="134" spans="2:9" x14ac:dyDescent="0.2">
      <c r="B134" t="s">
        <v>198</v>
      </c>
      <c r="H134" t="s">
        <v>256</v>
      </c>
      <c r="I134">
        <v>128</v>
      </c>
    </row>
    <row r="135" spans="2:9" x14ac:dyDescent="0.2">
      <c r="C135" t="s">
        <v>179</v>
      </c>
      <c r="D135" t="s">
        <v>197</v>
      </c>
      <c r="E135" s="6">
        <f t="shared" ref="E135:E144" si="5">I91</f>
        <v>60</v>
      </c>
      <c r="H135" t="s">
        <v>258</v>
      </c>
      <c r="I135">
        <v>78</v>
      </c>
    </row>
    <row r="136" spans="2:9" x14ac:dyDescent="0.2">
      <c r="C136" t="s">
        <v>179</v>
      </c>
      <c r="D136" t="s">
        <v>199</v>
      </c>
      <c r="E136" s="6">
        <f t="shared" si="5"/>
        <v>64</v>
      </c>
      <c r="H136" t="s">
        <v>260</v>
      </c>
      <c r="I136">
        <v>426</v>
      </c>
    </row>
    <row r="137" spans="2:9" x14ac:dyDescent="0.2">
      <c r="C137" t="s">
        <v>179</v>
      </c>
      <c r="D137" t="s">
        <v>200</v>
      </c>
      <c r="E137" s="6">
        <f t="shared" si="5"/>
        <v>56</v>
      </c>
      <c r="H137" t="s">
        <v>262</v>
      </c>
      <c r="I137">
        <v>10</v>
      </c>
    </row>
    <row r="138" spans="2:9" x14ac:dyDescent="0.2">
      <c r="C138" t="s">
        <v>179</v>
      </c>
      <c r="D138" t="s">
        <v>201</v>
      </c>
      <c r="E138" s="6">
        <f t="shared" si="5"/>
        <v>142</v>
      </c>
      <c r="H138" t="s">
        <v>264</v>
      </c>
      <c r="I138">
        <v>488</v>
      </c>
    </row>
    <row r="139" spans="2:9" x14ac:dyDescent="0.2">
      <c r="C139" t="s">
        <v>179</v>
      </c>
      <c r="D139" t="s">
        <v>202</v>
      </c>
      <c r="E139" s="6">
        <f t="shared" si="5"/>
        <v>2</v>
      </c>
      <c r="H139" t="s">
        <v>269</v>
      </c>
      <c r="I139">
        <v>508</v>
      </c>
    </row>
    <row r="140" spans="2:9" x14ac:dyDescent="0.2">
      <c r="C140" t="s">
        <v>179</v>
      </c>
      <c r="D140" t="s">
        <v>203</v>
      </c>
      <c r="E140" s="6">
        <f t="shared" si="5"/>
        <v>2</v>
      </c>
      <c r="H140" t="s">
        <v>270</v>
      </c>
      <c r="I140">
        <v>508</v>
      </c>
    </row>
    <row r="141" spans="2:9" x14ac:dyDescent="0.2">
      <c r="C141" t="s">
        <v>179</v>
      </c>
      <c r="D141" t="s">
        <v>204</v>
      </c>
      <c r="E141" s="6">
        <f t="shared" si="5"/>
        <v>106</v>
      </c>
      <c r="H141" t="s">
        <v>271</v>
      </c>
      <c r="I141">
        <v>222</v>
      </c>
    </row>
    <row r="142" spans="2:9" x14ac:dyDescent="0.2">
      <c r="C142" t="s">
        <v>179</v>
      </c>
      <c r="D142" t="s">
        <v>205</v>
      </c>
      <c r="E142" s="6">
        <f t="shared" si="5"/>
        <v>114</v>
      </c>
      <c r="H142" t="s">
        <v>273</v>
      </c>
      <c r="I142">
        <v>264</v>
      </c>
    </row>
    <row r="143" spans="2:9" x14ac:dyDescent="0.2">
      <c r="C143" t="s">
        <v>179</v>
      </c>
      <c r="D143" t="s">
        <v>206</v>
      </c>
      <c r="E143" s="6">
        <f t="shared" si="5"/>
        <v>454</v>
      </c>
      <c r="H143" t="s">
        <v>275</v>
      </c>
      <c r="I143">
        <v>354</v>
      </c>
    </row>
    <row r="144" spans="2:9" x14ac:dyDescent="0.2">
      <c r="C144" t="s">
        <v>179</v>
      </c>
      <c r="D144" t="s">
        <v>207</v>
      </c>
      <c r="E144" s="6">
        <f t="shared" si="5"/>
        <v>86</v>
      </c>
      <c r="H144" t="s">
        <v>277</v>
      </c>
      <c r="I144">
        <v>504</v>
      </c>
    </row>
    <row r="145" spans="2:9" x14ac:dyDescent="0.2">
      <c r="B145" t="s">
        <v>193</v>
      </c>
      <c r="H145" t="s">
        <v>279</v>
      </c>
      <c r="I145">
        <v>2</v>
      </c>
    </row>
    <row r="146" spans="2:9" x14ac:dyDescent="0.2">
      <c r="C146" t="s">
        <v>179</v>
      </c>
      <c r="D146" t="s">
        <v>192</v>
      </c>
      <c r="E146" s="6">
        <f>I87</f>
        <v>130</v>
      </c>
      <c r="H146" t="s">
        <v>281</v>
      </c>
      <c r="I146">
        <v>104</v>
      </c>
    </row>
    <row r="147" spans="2:9" x14ac:dyDescent="0.2">
      <c r="C147" t="s">
        <v>179</v>
      </c>
      <c r="D147" t="s">
        <v>194</v>
      </c>
      <c r="E147" s="6">
        <f>I88</f>
        <v>128</v>
      </c>
      <c r="H147" t="s">
        <v>282</v>
      </c>
      <c r="I147">
        <v>408</v>
      </c>
    </row>
    <row r="148" spans="2:9" x14ac:dyDescent="0.2">
      <c r="C148" t="s">
        <v>179</v>
      </c>
      <c r="D148" t="s">
        <v>195</v>
      </c>
      <c r="E148" s="6">
        <f>I89</f>
        <v>336</v>
      </c>
      <c r="H148" t="s">
        <v>284</v>
      </c>
      <c r="I148">
        <v>298</v>
      </c>
    </row>
    <row r="149" spans="2:9" x14ac:dyDescent="0.2">
      <c r="C149" t="s">
        <v>179</v>
      </c>
      <c r="D149" t="s">
        <v>196</v>
      </c>
      <c r="E149" s="6">
        <f>I90</f>
        <v>64</v>
      </c>
      <c r="H149" t="s">
        <v>286</v>
      </c>
      <c r="I149">
        <v>132</v>
      </c>
    </row>
    <row r="150" spans="2:9" x14ac:dyDescent="0.2">
      <c r="B150" t="s">
        <v>209</v>
      </c>
      <c r="H150" t="s">
        <v>288</v>
      </c>
      <c r="I150">
        <v>102</v>
      </c>
    </row>
    <row r="151" spans="2:9" x14ac:dyDescent="0.2">
      <c r="C151" t="s">
        <v>179</v>
      </c>
      <c r="D151" t="s">
        <v>208</v>
      </c>
      <c r="E151" s="6">
        <f t="shared" ref="E151:E169" si="6">I101</f>
        <v>62</v>
      </c>
      <c r="H151" t="s">
        <v>290</v>
      </c>
      <c r="I151">
        <v>168</v>
      </c>
    </row>
    <row r="152" spans="2:9" x14ac:dyDescent="0.2">
      <c r="C152" t="s">
        <v>179</v>
      </c>
      <c r="D152" t="s">
        <v>210</v>
      </c>
      <c r="E152" s="6">
        <f t="shared" si="6"/>
        <v>84</v>
      </c>
      <c r="H152" t="s">
        <v>292</v>
      </c>
      <c r="I152">
        <v>164</v>
      </c>
    </row>
    <row r="153" spans="2:9" x14ac:dyDescent="0.2">
      <c r="C153" t="s">
        <v>179</v>
      </c>
      <c r="D153" t="s">
        <v>211</v>
      </c>
      <c r="E153" s="6">
        <f t="shared" si="6"/>
        <v>18</v>
      </c>
      <c r="H153" t="s">
        <v>294</v>
      </c>
      <c r="I153">
        <v>182</v>
      </c>
    </row>
    <row r="154" spans="2:9" x14ac:dyDescent="0.2">
      <c r="C154" t="s">
        <v>179</v>
      </c>
      <c r="D154" t="s">
        <v>212</v>
      </c>
      <c r="E154" s="6">
        <f t="shared" si="6"/>
        <v>232</v>
      </c>
      <c r="H154" t="s">
        <v>296</v>
      </c>
      <c r="I154">
        <v>158</v>
      </c>
    </row>
    <row r="155" spans="2:9" x14ac:dyDescent="0.2">
      <c r="C155" t="s">
        <v>179</v>
      </c>
      <c r="D155" t="s">
        <v>213</v>
      </c>
      <c r="E155" s="6">
        <f t="shared" si="6"/>
        <v>160</v>
      </c>
      <c r="H155" t="s">
        <v>298</v>
      </c>
      <c r="I155">
        <v>100</v>
      </c>
    </row>
    <row r="156" spans="2:9" x14ac:dyDescent="0.2">
      <c r="C156" t="s">
        <v>179</v>
      </c>
      <c r="D156" t="s">
        <v>214</v>
      </c>
      <c r="E156" s="6">
        <f t="shared" si="6"/>
        <v>34</v>
      </c>
      <c r="H156" t="s">
        <v>299</v>
      </c>
      <c r="I156">
        <v>28</v>
      </c>
    </row>
    <row r="157" spans="2:9" x14ac:dyDescent="0.2">
      <c r="C157" t="s">
        <v>179</v>
      </c>
      <c r="D157" t="s">
        <v>215</v>
      </c>
      <c r="E157" s="6">
        <f t="shared" si="6"/>
        <v>142</v>
      </c>
      <c r="H157" t="s">
        <v>301</v>
      </c>
      <c r="I157">
        <v>42</v>
      </c>
    </row>
    <row r="158" spans="2:9" x14ac:dyDescent="0.2">
      <c r="C158" t="s">
        <v>179</v>
      </c>
      <c r="D158" t="s">
        <v>216</v>
      </c>
      <c r="E158" s="6">
        <f t="shared" si="6"/>
        <v>24</v>
      </c>
    </row>
    <row r="159" spans="2:9" x14ac:dyDescent="0.2">
      <c r="C159" t="s">
        <v>179</v>
      </c>
      <c r="D159" t="s">
        <v>217</v>
      </c>
      <c r="E159" s="6">
        <f t="shared" si="6"/>
        <v>72</v>
      </c>
    </row>
    <row r="160" spans="2:9" x14ac:dyDescent="0.2">
      <c r="C160" t="s">
        <v>179</v>
      </c>
      <c r="D160" t="s">
        <v>218</v>
      </c>
      <c r="E160" s="6">
        <f t="shared" si="6"/>
        <v>126</v>
      </c>
    </row>
    <row r="161" spans="1:5" x14ac:dyDescent="0.2">
      <c r="C161" t="s">
        <v>179</v>
      </c>
      <c r="D161" t="s">
        <v>219</v>
      </c>
      <c r="E161" s="6">
        <f t="shared" si="6"/>
        <v>12</v>
      </c>
    </row>
    <row r="162" spans="1:5" x14ac:dyDescent="0.2">
      <c r="C162" t="s">
        <v>179</v>
      </c>
      <c r="D162" t="s">
        <v>220</v>
      </c>
      <c r="E162" s="6">
        <f t="shared" si="6"/>
        <v>68</v>
      </c>
    </row>
    <row r="163" spans="1:5" x14ac:dyDescent="0.2">
      <c r="C163" t="s">
        <v>179</v>
      </c>
      <c r="D163" t="s">
        <v>221</v>
      </c>
      <c r="E163" s="6">
        <f t="shared" si="6"/>
        <v>24</v>
      </c>
    </row>
    <row r="164" spans="1:5" x14ac:dyDescent="0.2">
      <c r="C164" t="s">
        <v>179</v>
      </c>
      <c r="D164" t="s">
        <v>222</v>
      </c>
      <c r="E164" s="6">
        <f t="shared" si="6"/>
        <v>104</v>
      </c>
    </row>
    <row r="165" spans="1:5" x14ac:dyDescent="0.2">
      <c r="C165" t="s">
        <v>179</v>
      </c>
      <c r="D165" t="s">
        <v>223</v>
      </c>
      <c r="E165" s="6">
        <f t="shared" si="6"/>
        <v>68</v>
      </c>
    </row>
    <row r="166" spans="1:5" x14ac:dyDescent="0.2">
      <c r="C166" t="s">
        <v>179</v>
      </c>
      <c r="D166" t="s">
        <v>224</v>
      </c>
      <c r="E166" s="6">
        <f t="shared" si="6"/>
        <v>44</v>
      </c>
    </row>
    <row r="167" spans="1:5" x14ac:dyDescent="0.2">
      <c r="C167" t="s">
        <v>179</v>
      </c>
      <c r="D167" t="s">
        <v>225</v>
      </c>
      <c r="E167" s="6">
        <f t="shared" si="6"/>
        <v>42</v>
      </c>
    </row>
    <row r="168" spans="1:5" x14ac:dyDescent="0.2">
      <c r="C168" t="s">
        <v>179</v>
      </c>
      <c r="D168" t="s">
        <v>226</v>
      </c>
      <c r="E168" s="6">
        <f t="shared" si="6"/>
        <v>198</v>
      </c>
    </row>
    <row r="169" spans="1:5" x14ac:dyDescent="0.2">
      <c r="C169" t="s">
        <v>179</v>
      </c>
      <c r="D169" t="s">
        <v>227</v>
      </c>
      <c r="E169" s="6">
        <f t="shared" si="6"/>
        <v>20</v>
      </c>
    </row>
    <row r="170" spans="1:5" x14ac:dyDescent="0.2">
      <c r="B170" t="s">
        <v>229</v>
      </c>
    </row>
    <row r="171" spans="1:5" x14ac:dyDescent="0.2">
      <c r="C171" t="s">
        <v>179</v>
      </c>
      <c r="D171" t="s">
        <v>228</v>
      </c>
      <c r="E171" s="6">
        <f>I120</f>
        <v>144</v>
      </c>
    </row>
    <row r="172" spans="1:5" x14ac:dyDescent="0.2">
      <c r="A172" t="s">
        <v>8</v>
      </c>
    </row>
    <row r="173" spans="1:5" x14ac:dyDescent="0.2">
      <c r="B173" t="s">
        <v>9</v>
      </c>
      <c r="E173" s="7"/>
    </row>
    <row r="174" spans="1:5" x14ac:dyDescent="0.2">
      <c r="B174" t="s">
        <v>10</v>
      </c>
    </row>
    <row r="175" spans="1:5" x14ac:dyDescent="0.2">
      <c r="C175" t="s">
        <v>11</v>
      </c>
      <c r="D175" t="s">
        <v>12</v>
      </c>
      <c r="E175" s="6">
        <f>I2</f>
        <v>16</v>
      </c>
    </row>
    <row r="176" spans="1:5" x14ac:dyDescent="0.2">
      <c r="B176" t="s">
        <v>13</v>
      </c>
    </row>
    <row r="177" spans="2:7" x14ac:dyDescent="0.2">
      <c r="C177" t="s">
        <v>16</v>
      </c>
      <c r="D177" t="s">
        <v>60</v>
      </c>
      <c r="E177" s="6">
        <f>I23</f>
        <v>630</v>
      </c>
    </row>
    <row r="178" spans="2:7" x14ac:dyDescent="0.2">
      <c r="B178" t="s">
        <v>14</v>
      </c>
    </row>
    <row r="179" spans="2:7" x14ac:dyDescent="0.2">
      <c r="B179" t="s">
        <v>15</v>
      </c>
    </row>
    <row r="180" spans="2:7" x14ac:dyDescent="0.2">
      <c r="C180" t="s">
        <v>17</v>
      </c>
      <c r="D180" t="s">
        <v>18</v>
      </c>
      <c r="E180" s="6">
        <f>I3</f>
        <v>1302</v>
      </c>
    </row>
    <row r="181" spans="2:7" x14ac:dyDescent="0.2">
      <c r="C181" t="s">
        <v>19</v>
      </c>
      <c r="D181" t="s">
        <v>20</v>
      </c>
      <c r="E181" s="6">
        <f>I4</f>
        <v>658</v>
      </c>
    </row>
    <row r="182" spans="2:7" x14ac:dyDescent="0.2">
      <c r="C182" t="s">
        <v>257</v>
      </c>
      <c r="D182" t="s">
        <v>256</v>
      </c>
      <c r="E182" s="6">
        <f>I134</f>
        <v>128</v>
      </c>
    </row>
    <row r="183" spans="2:7" x14ac:dyDescent="0.2">
      <c r="C183" t="s">
        <v>259</v>
      </c>
      <c r="D183" t="s">
        <v>258</v>
      </c>
      <c r="E183" s="6">
        <f>I135</f>
        <v>78</v>
      </c>
    </row>
    <row r="184" spans="2:7" x14ac:dyDescent="0.2">
      <c r="C184" t="s">
        <v>261</v>
      </c>
      <c r="D184" t="s">
        <v>260</v>
      </c>
      <c r="E184" s="6">
        <f>I136</f>
        <v>426</v>
      </c>
    </row>
    <row r="185" spans="2:7" x14ac:dyDescent="0.2">
      <c r="C185" t="s">
        <v>263</v>
      </c>
      <c r="D185" t="s">
        <v>262</v>
      </c>
      <c r="E185" s="6">
        <f>I137</f>
        <v>10</v>
      </c>
    </row>
    <row r="186" spans="2:7" x14ac:dyDescent="0.2">
      <c r="B186" t="s">
        <v>63</v>
      </c>
    </row>
    <row r="187" spans="2:7" x14ac:dyDescent="0.2">
      <c r="C187" t="s">
        <v>62</v>
      </c>
      <c r="D187" t="s">
        <v>61</v>
      </c>
      <c r="E187" s="6">
        <f>I24</f>
        <v>1378</v>
      </c>
    </row>
    <row r="188" spans="2:7" x14ac:dyDescent="0.2">
      <c r="C188" t="s">
        <v>65</v>
      </c>
      <c r="D188" t="s">
        <v>64</v>
      </c>
      <c r="E188" s="6">
        <f>I25</f>
        <v>16</v>
      </c>
    </row>
    <row r="189" spans="2:7" x14ac:dyDescent="0.2">
      <c r="C189" t="s">
        <v>265</v>
      </c>
      <c r="D189" t="s">
        <v>264</v>
      </c>
      <c r="E189" s="6">
        <f>I138</f>
        <v>488</v>
      </c>
    </row>
    <row r="190" spans="2:7" x14ac:dyDescent="0.2">
      <c r="B190" t="s">
        <v>266</v>
      </c>
      <c r="E190" s="7"/>
    </row>
    <row r="191" spans="2:7" x14ac:dyDescent="0.2">
      <c r="B191" t="s">
        <v>267</v>
      </c>
      <c r="F191" s="6"/>
    </row>
    <row r="192" spans="2:7" x14ac:dyDescent="0.2">
      <c r="B192" t="s">
        <v>268</v>
      </c>
      <c r="E192" s="6">
        <v>2</v>
      </c>
      <c r="F192" s="8">
        <f>SUM($E$2:E192)</f>
        <v>27780</v>
      </c>
      <c r="G192" s="9" t="str">
        <f>"0x"&amp;DEC2HEX(F192)</f>
        <v>0x6C84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D654-C96E-8F4F-8C18-CC7325DC5FB8}">
  <dimension ref="A1:E77"/>
  <sheetViews>
    <sheetView topLeftCell="A54" workbookViewId="0">
      <selection activeCell="C74" sqref="C74"/>
    </sheetView>
  </sheetViews>
  <sheetFormatPr baseColWidth="10" defaultRowHeight="16" x14ac:dyDescent="0.2"/>
  <cols>
    <col min="1" max="1" width="79.5" customWidth="1"/>
    <col min="2" max="2" width="10.83203125" style="5"/>
    <col min="3" max="3" width="15.6640625" style="13" customWidth="1"/>
  </cols>
  <sheetData>
    <row r="1" spans="1:3" x14ac:dyDescent="0.2">
      <c r="C1" s="12" t="s">
        <v>4</v>
      </c>
    </row>
    <row r="2" spans="1:3" x14ac:dyDescent="0.2">
      <c r="A2" t="s">
        <v>337</v>
      </c>
      <c r="B2" s="5">
        <v>4</v>
      </c>
      <c r="C2" s="13" t="str">
        <f>"0x"&amp;DEC2HEX(HEX2DEC($C$1)+SUM(B$2:$B2))</f>
        <v>0x3FC87464</v>
      </c>
    </row>
    <row r="3" spans="1:3" x14ac:dyDescent="0.2">
      <c r="A3" t="s">
        <v>330</v>
      </c>
      <c r="B3" s="5">
        <v>20</v>
      </c>
      <c r="C3" s="13" t="str">
        <f>"0x"&amp;DEC2HEX(HEX2DEC($C$1)+SUM(B$2:$B3))</f>
        <v>0x3FC87478</v>
      </c>
    </row>
    <row r="4" spans="1:3" x14ac:dyDescent="0.2">
      <c r="A4" t="s">
        <v>331</v>
      </c>
      <c r="B4" s="5">
        <v>20</v>
      </c>
      <c r="C4" s="13" t="str">
        <f>"0x"&amp;DEC2HEX(HEX2DEC($C$1)+SUM(B$2:$B4))</f>
        <v>0x3FC8748C</v>
      </c>
    </row>
    <row r="5" spans="1:3" x14ac:dyDescent="0.2">
      <c r="A5" t="s">
        <v>332</v>
      </c>
      <c r="B5" s="5">
        <v>16</v>
      </c>
      <c r="C5" s="13" t="str">
        <f>"0x"&amp;DEC2HEX(HEX2DEC($C$1)+SUM(B$2:$B5))</f>
        <v>0x3FC8749C</v>
      </c>
    </row>
    <row r="6" spans="1:3" x14ac:dyDescent="0.2">
      <c r="A6" t="s">
        <v>268</v>
      </c>
      <c r="B6" s="5">
        <v>4</v>
      </c>
      <c r="C6" s="13" t="str">
        <f>"0x"&amp;DEC2HEX(HEX2DEC($C$1)+SUM(B$2:$B6))</f>
        <v>0x3FC874A0</v>
      </c>
    </row>
    <row r="7" spans="1:3" x14ac:dyDescent="0.2">
      <c r="A7" t="s">
        <v>334</v>
      </c>
      <c r="B7" s="5">
        <v>224</v>
      </c>
      <c r="C7" s="13" t="str">
        <f>"0x"&amp;DEC2HEX(HEX2DEC($C$1)+SUM(B$2:$B7))</f>
        <v>0x3FC87580</v>
      </c>
    </row>
    <row r="8" spans="1:3" x14ac:dyDescent="0.2">
      <c r="A8" t="s">
        <v>333</v>
      </c>
      <c r="B8" s="5">
        <v>8</v>
      </c>
      <c r="C8" s="13" t="str">
        <f>"0x"&amp;DEC2HEX(HEX2DEC($C$1)+SUM(B$2:$B8))</f>
        <v>0x3FC87588</v>
      </c>
    </row>
    <row r="9" spans="1:3" x14ac:dyDescent="0.2">
      <c r="A9" t="s">
        <v>335</v>
      </c>
      <c r="B9" s="5">
        <v>4</v>
      </c>
      <c r="C9" s="13" t="str">
        <f>"0x"&amp;DEC2HEX(HEX2DEC($C$1)+SUM(B$2:$B9))</f>
        <v>0x3FC8758C</v>
      </c>
    </row>
    <row r="10" spans="1:3" x14ac:dyDescent="0.2">
      <c r="A10" t="s">
        <v>336</v>
      </c>
      <c r="B10" s="5">
        <v>4</v>
      </c>
      <c r="C10" s="13" t="str">
        <f>"0x"&amp;DEC2HEX(HEX2DEC($C$1)+SUM(B$2:$B10))</f>
        <v>0x3FC87590</v>
      </c>
    </row>
    <row r="11" spans="1:3" x14ac:dyDescent="0.2">
      <c r="A11" t="s">
        <v>338</v>
      </c>
      <c r="B11" s="5">
        <v>32</v>
      </c>
      <c r="C11" s="13" t="str">
        <f>"0x"&amp;DEC2HEX(HEX2DEC($C$1)+SUM(B$2:$B11))</f>
        <v>0x3FC875B0</v>
      </c>
    </row>
    <row r="12" spans="1:3" x14ac:dyDescent="0.2">
      <c r="C12" s="13" t="str">
        <f>"0x"&amp;DEC2HEX(HEX2DEC($C$1)+SUM(B$2:$B12))</f>
        <v>0x3FC875B0</v>
      </c>
    </row>
    <row r="13" spans="1:3" x14ac:dyDescent="0.2">
      <c r="A13" t="s">
        <v>339</v>
      </c>
      <c r="B13" s="5">
        <v>12</v>
      </c>
      <c r="C13" s="13" t="str">
        <f>"0x"&amp;DEC2HEX(HEX2DEC($C$1)+SUM(B$2:$B13))</f>
        <v>0x3FC875BC</v>
      </c>
    </row>
    <row r="14" spans="1:3" x14ac:dyDescent="0.2">
      <c r="A14" t="s">
        <v>2493</v>
      </c>
      <c r="B14" s="5">
        <v>20</v>
      </c>
      <c r="C14" s="13" t="str">
        <f>"0x"&amp;DEC2HEX(HEX2DEC($C$1)+SUM(B$2:$B14))</f>
        <v>0x3FC875D0</v>
      </c>
    </row>
    <row r="15" spans="1:3" x14ac:dyDescent="0.2">
      <c r="C15" s="13" t="str">
        <f>"0x"&amp;DEC2HEX(HEX2DEC($C$1)+SUM(B$2:$B15))</f>
        <v>0x3FC875D0</v>
      </c>
    </row>
    <row r="16" spans="1:3" x14ac:dyDescent="0.2">
      <c r="A16" t="s">
        <v>340</v>
      </c>
      <c r="B16" s="5">
        <v>4</v>
      </c>
      <c r="C16" s="13" t="str">
        <f>"0x"&amp;DEC2HEX(HEX2DEC($C$1)+SUM(B$2:$B16))</f>
        <v>0x3FC875D4</v>
      </c>
    </row>
    <row r="17" spans="1:3" x14ac:dyDescent="0.2">
      <c r="A17" t="s">
        <v>341</v>
      </c>
      <c r="B17" s="5">
        <v>4</v>
      </c>
      <c r="C17" s="13" t="str">
        <f>"0x"&amp;DEC2HEX(HEX2DEC($C$1)+SUM(B$2:$B17))</f>
        <v>0x3FC875D8</v>
      </c>
    </row>
    <row r="18" spans="1:3" x14ac:dyDescent="0.2">
      <c r="A18" t="s">
        <v>342</v>
      </c>
      <c r="B18" s="5">
        <v>4</v>
      </c>
      <c r="C18" s="13" t="str">
        <f>"0x"&amp;DEC2HEX(HEX2DEC($C$1)+SUM(B$2:$B18))</f>
        <v>0x3FC875DC</v>
      </c>
    </row>
    <row r="19" spans="1:3" x14ac:dyDescent="0.2">
      <c r="A19" t="s">
        <v>343</v>
      </c>
      <c r="B19" s="5">
        <v>12</v>
      </c>
      <c r="C19" s="13" t="str">
        <f>"0x"&amp;DEC2HEX(HEX2DEC($C$1)+SUM(B$2:$B19))</f>
        <v>0x3FC875E8</v>
      </c>
    </row>
    <row r="20" spans="1:3" x14ac:dyDescent="0.2">
      <c r="A20" t="s">
        <v>344</v>
      </c>
      <c r="B20" s="5">
        <v>12</v>
      </c>
      <c r="C20" s="13" t="str">
        <f>"0x"&amp;DEC2HEX(HEX2DEC($C$1)+SUM(B$2:$B20))</f>
        <v>0x3FC875F4</v>
      </c>
    </row>
    <row r="21" spans="1:3" x14ac:dyDescent="0.2">
      <c r="A21" t="s">
        <v>345</v>
      </c>
      <c r="B21" s="5">
        <v>4</v>
      </c>
      <c r="C21" s="13" t="str">
        <f>"0x"&amp;DEC2HEX(HEX2DEC($C$1)+SUM(B$2:$B21))</f>
        <v>0x3FC875F8</v>
      </c>
    </row>
    <row r="22" spans="1:3" x14ac:dyDescent="0.2">
      <c r="A22" t="s">
        <v>346</v>
      </c>
      <c r="B22" s="5">
        <v>4</v>
      </c>
      <c r="C22" s="13" t="str">
        <f>"0x"&amp;DEC2HEX(HEX2DEC($C$1)+SUM(B$2:$B22))</f>
        <v>0x3FC875FC</v>
      </c>
    </row>
    <row r="23" spans="1:3" x14ac:dyDescent="0.2">
      <c r="A23" t="s">
        <v>347</v>
      </c>
      <c r="B23" s="5">
        <v>136</v>
      </c>
      <c r="C23" s="13" t="str">
        <f>"0x"&amp;DEC2HEX(HEX2DEC($C$1)+SUM(B$2:$B23))</f>
        <v>0x3FC87684</v>
      </c>
    </row>
    <row r="24" spans="1:3" x14ac:dyDescent="0.2">
      <c r="A24" t="s">
        <v>348</v>
      </c>
      <c r="B24" s="5">
        <v>136</v>
      </c>
      <c r="C24" s="13" t="str">
        <f>"0x"&amp;DEC2HEX(HEX2DEC($C$1)+SUM(B$2:$B24))</f>
        <v>0x3FC8770C</v>
      </c>
    </row>
    <row r="25" spans="1:3" x14ac:dyDescent="0.2">
      <c r="A25" t="s">
        <v>349</v>
      </c>
      <c r="B25" s="5">
        <v>8</v>
      </c>
      <c r="C25" s="13" t="str">
        <f>"0x"&amp;DEC2HEX(HEX2DEC($C$1)+SUM(B$2:$B25))</f>
        <v>0x3FC87714</v>
      </c>
    </row>
    <row r="26" spans="1:3" x14ac:dyDescent="0.2">
      <c r="A26" t="s">
        <v>350</v>
      </c>
      <c r="B26" s="5">
        <v>8</v>
      </c>
      <c r="C26" s="13" t="str">
        <f>"0x"&amp;DEC2HEX(HEX2DEC($C$1)+SUM(B$2:$B26))</f>
        <v>0x3FC8771C</v>
      </c>
    </row>
    <row r="27" spans="1:3" x14ac:dyDescent="0.2">
      <c r="A27" t="s">
        <v>351</v>
      </c>
      <c r="B27" s="5">
        <v>4</v>
      </c>
      <c r="C27" s="13" t="str">
        <f>"0x"&amp;DEC2HEX(HEX2DEC($C$1)+SUM(B$2:$B27))</f>
        <v>0x3FC87720</v>
      </c>
    </row>
    <row r="28" spans="1:3" x14ac:dyDescent="0.2">
      <c r="A28" t="s">
        <v>352</v>
      </c>
      <c r="B28" s="5">
        <v>4</v>
      </c>
      <c r="C28" s="13" t="str">
        <f>"0x"&amp;DEC2HEX(HEX2DEC($C$1)+SUM(B$2:$B28))</f>
        <v>0x3FC87724</v>
      </c>
    </row>
    <row r="29" spans="1:3" x14ac:dyDescent="0.2">
      <c r="A29" t="s">
        <v>353</v>
      </c>
      <c r="B29" s="5">
        <v>1</v>
      </c>
      <c r="C29" s="13" t="str">
        <f>"0x"&amp;DEC2HEX(HEX2DEC($C$1)+SUM(B$2:$B29))</f>
        <v>0x3FC87725</v>
      </c>
    </row>
    <row r="30" spans="1:3" x14ac:dyDescent="0.2">
      <c r="A30" t="s">
        <v>268</v>
      </c>
      <c r="B30" s="5">
        <v>3</v>
      </c>
      <c r="C30" s="13" t="str">
        <f>"0x"&amp;DEC2HEX(HEX2DEC($C$1)+SUM(B$2:$B30))</f>
        <v>0x3FC87728</v>
      </c>
    </row>
    <row r="31" spans="1:3" x14ac:dyDescent="0.2">
      <c r="A31" t="s">
        <v>354</v>
      </c>
      <c r="B31" s="5">
        <v>24</v>
      </c>
      <c r="C31" s="13" t="str">
        <f>"0x"&amp;DEC2HEX(HEX2DEC($C$1)+SUM(B$2:$B31))</f>
        <v>0x3FC87740</v>
      </c>
    </row>
    <row r="32" spans="1:3" x14ac:dyDescent="0.2">
      <c r="A32" t="s">
        <v>355</v>
      </c>
      <c r="B32" s="5">
        <v>1</v>
      </c>
      <c r="C32" s="13" t="str">
        <f>"0x"&amp;DEC2HEX(HEX2DEC($C$1)+SUM(B$2:$B32))</f>
        <v>0x3FC87741</v>
      </c>
    </row>
    <row r="33" spans="1:3" x14ac:dyDescent="0.2">
      <c r="A33" t="s">
        <v>356</v>
      </c>
      <c r="B33" s="5">
        <v>1</v>
      </c>
      <c r="C33" s="13" t="str">
        <f>"0x"&amp;DEC2HEX(HEX2DEC($C$1)+SUM(B$2:$B33))</f>
        <v>0x3FC87742</v>
      </c>
    </row>
    <row r="34" spans="1:3" x14ac:dyDescent="0.2">
      <c r="A34" t="s">
        <v>268</v>
      </c>
      <c r="B34" s="5">
        <v>2</v>
      </c>
      <c r="C34" s="13" t="str">
        <f>"0x"&amp;DEC2HEX(HEX2DEC($C$1)+SUM(B$2:$B34))</f>
        <v>0x3FC87744</v>
      </c>
    </row>
    <row r="35" spans="1:3" x14ac:dyDescent="0.2">
      <c r="A35" t="s">
        <v>357</v>
      </c>
      <c r="B35" s="5">
        <v>4</v>
      </c>
      <c r="C35" s="13" t="str">
        <f>"0x"&amp;DEC2HEX(HEX2DEC($C$1)+SUM(B$2:$B35))</f>
        <v>0x3FC87748</v>
      </c>
    </row>
    <row r="36" spans="1:3" x14ac:dyDescent="0.2">
      <c r="A36" t="s">
        <v>358</v>
      </c>
      <c r="B36" s="5">
        <v>2</v>
      </c>
      <c r="C36" s="13" t="str">
        <f>"0x"&amp;DEC2HEX(HEX2DEC($C$1)+SUM(B$2:$B36))</f>
        <v>0x3FC8774A</v>
      </c>
    </row>
    <row r="37" spans="1:3" x14ac:dyDescent="0.2">
      <c r="A37" t="s">
        <v>268</v>
      </c>
      <c r="B37" s="5">
        <v>2</v>
      </c>
      <c r="C37" s="13" t="str">
        <f>"0x"&amp;DEC2HEX(HEX2DEC($C$1)+SUM(B$2:$B37))</f>
        <v>0x3FC8774C</v>
      </c>
    </row>
    <row r="38" spans="1:3" x14ac:dyDescent="0.2">
      <c r="A38" t="s">
        <v>359</v>
      </c>
      <c r="B38" s="5">
        <v>212</v>
      </c>
      <c r="C38" s="13" t="str">
        <f>"0x"&amp;DEC2HEX(HEX2DEC($C$1)+SUM(B$2:$B38))</f>
        <v>0x3FC87820</v>
      </c>
    </row>
    <row r="39" spans="1:3" x14ac:dyDescent="0.2">
      <c r="A39" t="s">
        <v>360</v>
      </c>
      <c r="B39" s="5">
        <v>230</v>
      </c>
      <c r="C39" s="13" t="str">
        <f>"0x"&amp;DEC2HEX(HEX2DEC($C$1)+SUM(B$2:$B39))</f>
        <v>0x3FC87906</v>
      </c>
    </row>
    <row r="40" spans="1:3" x14ac:dyDescent="0.2">
      <c r="A40" t="s">
        <v>268</v>
      </c>
      <c r="B40" s="5">
        <v>2</v>
      </c>
      <c r="C40" s="13" t="str">
        <f>"0x"&amp;DEC2HEX(HEX2DEC($C$1)+SUM(B$2:$B40))</f>
        <v>0x3FC87908</v>
      </c>
    </row>
    <row r="41" spans="1:3" x14ac:dyDescent="0.2">
      <c r="A41" t="s">
        <v>361</v>
      </c>
      <c r="B41" s="5">
        <v>14</v>
      </c>
      <c r="C41" s="13" t="str">
        <f>"0x"&amp;DEC2HEX(HEX2DEC($C$1)+SUM(B$2:$B41))</f>
        <v>0x3FC87916</v>
      </c>
    </row>
    <row r="42" spans="1:3" x14ac:dyDescent="0.2">
      <c r="A42" t="s">
        <v>268</v>
      </c>
      <c r="B42" s="5">
        <v>2</v>
      </c>
      <c r="C42" s="13" t="str">
        <f>"0x"&amp;DEC2HEX(HEX2DEC($C$1)+SUM(B$2:$B42))</f>
        <v>0x3FC87918</v>
      </c>
    </row>
    <row r="43" spans="1:3" x14ac:dyDescent="0.2">
      <c r="A43" t="s">
        <v>362</v>
      </c>
      <c r="B43" s="5">
        <v>12</v>
      </c>
      <c r="C43" s="13" t="str">
        <f>"0x"&amp;DEC2HEX(HEX2DEC($C$1)+SUM(B$2:$B43))</f>
        <v>0x3FC87924</v>
      </c>
    </row>
    <row r="44" spans="1:3" x14ac:dyDescent="0.2">
      <c r="A44" t="s">
        <v>363</v>
      </c>
      <c r="B44" s="5">
        <v>1</v>
      </c>
      <c r="C44" s="13" t="str">
        <f>"0x"&amp;DEC2HEX(HEX2DEC($C$1)+SUM(B$2:$B44))</f>
        <v>0x3FC87925</v>
      </c>
    </row>
    <row r="45" spans="1:3" x14ac:dyDescent="0.2">
      <c r="A45" t="s">
        <v>268</v>
      </c>
      <c r="B45" s="5">
        <v>1</v>
      </c>
      <c r="C45" s="13" t="str">
        <f>"0x"&amp;DEC2HEX(HEX2DEC($C$1)+SUM(B$2:$B45))</f>
        <v>0x3FC87926</v>
      </c>
    </row>
    <row r="46" spans="1:3" x14ac:dyDescent="0.2">
      <c r="A46" t="s">
        <v>364</v>
      </c>
      <c r="B46" s="5">
        <v>2</v>
      </c>
      <c r="C46" s="13" t="str">
        <f>"0x"&amp;DEC2HEX(HEX2DEC($C$1)+SUM(B$2:$B46))</f>
        <v>0x3FC87928</v>
      </c>
    </row>
    <row r="47" spans="1:3" x14ac:dyDescent="0.2">
      <c r="A47" t="s">
        <v>365</v>
      </c>
      <c r="B47" s="5">
        <v>2</v>
      </c>
      <c r="C47" s="13" t="str">
        <f>"0x"&amp;DEC2HEX(HEX2DEC($C$1)+SUM(B$2:$B47))</f>
        <v>0x3FC8792A</v>
      </c>
    </row>
    <row r="48" spans="1:3" x14ac:dyDescent="0.2">
      <c r="A48" t="s">
        <v>268</v>
      </c>
      <c r="B48" s="5">
        <v>2</v>
      </c>
      <c r="C48" s="13" t="str">
        <f>"0x"&amp;DEC2HEX(HEX2DEC($C$1)+SUM(B$2:$B48))</f>
        <v>0x3FC8792C</v>
      </c>
    </row>
    <row r="49" spans="1:3" x14ac:dyDescent="0.2">
      <c r="A49" t="s">
        <v>366</v>
      </c>
      <c r="B49" s="5">
        <v>24</v>
      </c>
      <c r="C49" s="13" t="str">
        <f>"0x"&amp;DEC2HEX(HEX2DEC($C$1)+SUM(B$2:$B49))</f>
        <v>0x3FC87944</v>
      </c>
    </row>
    <row r="50" spans="1:3" x14ac:dyDescent="0.2">
      <c r="A50" t="s">
        <v>367</v>
      </c>
      <c r="B50" s="5">
        <v>24</v>
      </c>
      <c r="C50" s="13" t="str">
        <f>"0x"&amp;DEC2HEX(HEX2DEC($C$1)+SUM(B$2:$B50))</f>
        <v>0x3FC8795C</v>
      </c>
    </row>
    <row r="51" spans="1:3" x14ac:dyDescent="0.2">
      <c r="A51" t="s">
        <v>368</v>
      </c>
      <c r="B51" s="5">
        <v>24</v>
      </c>
      <c r="C51" s="13" t="str">
        <f>"0x"&amp;DEC2HEX(HEX2DEC($C$1)+SUM(B$2:$B51))</f>
        <v>0x3FC87974</v>
      </c>
    </row>
    <row r="52" spans="1:3" x14ac:dyDescent="0.2">
      <c r="A52" t="s">
        <v>369</v>
      </c>
      <c r="B52" s="5">
        <v>24</v>
      </c>
      <c r="C52" s="13" t="str">
        <f>"0x"&amp;DEC2HEX(HEX2DEC($C$1)+SUM(B$2:$B52))</f>
        <v>0x3FC8798C</v>
      </c>
    </row>
    <row r="53" spans="1:3" x14ac:dyDescent="0.2">
      <c r="A53" t="s">
        <v>370</v>
      </c>
      <c r="B53" s="5">
        <v>200</v>
      </c>
      <c r="C53" s="13" t="str">
        <f>"0x"&amp;DEC2HEX(HEX2DEC($C$1)+SUM(B$2:$B53))</f>
        <v>0x3FC87A54</v>
      </c>
    </row>
    <row r="54" spans="1:3" x14ac:dyDescent="0.2">
      <c r="A54" t="s">
        <v>371</v>
      </c>
      <c r="B54" s="5">
        <v>1</v>
      </c>
      <c r="C54" s="13" t="str">
        <f>"0x"&amp;DEC2HEX(HEX2DEC($C$1)+SUM(B$2:$B54))</f>
        <v>0x3FC87A55</v>
      </c>
    </row>
    <row r="55" spans="1:3" x14ac:dyDescent="0.2">
      <c r="A55" t="s">
        <v>268</v>
      </c>
      <c r="B55" s="5">
        <v>3</v>
      </c>
      <c r="C55" s="13" t="str">
        <f>"0x"&amp;DEC2HEX(HEX2DEC($C$1)+SUM(B$2:$B55))</f>
        <v>0x3FC87A58</v>
      </c>
    </row>
    <row r="56" spans="1:3" x14ac:dyDescent="0.2">
      <c r="C56" s="13" t="str">
        <f>"0x"&amp;DEC2HEX(HEX2DEC($C$1)+SUM(B$2:$B56))</f>
        <v>0x3FC87A58</v>
      </c>
    </row>
    <row r="57" spans="1:3" x14ac:dyDescent="0.2">
      <c r="A57" t="s">
        <v>372</v>
      </c>
      <c r="B57" s="5">
        <v>832</v>
      </c>
      <c r="C57" s="13" t="str">
        <f>"0x"&amp;DEC2HEX(HEX2DEC($C$1)+SUM(B$2:$B57))</f>
        <v>0x3FC87D98</v>
      </c>
    </row>
    <row r="58" spans="1:3" x14ac:dyDescent="0.2">
      <c r="A58" t="s">
        <v>373</v>
      </c>
      <c r="B58" s="5">
        <v>2</v>
      </c>
      <c r="C58" s="13" t="str">
        <f>"0x"&amp;DEC2HEX(HEX2DEC($C$1)+SUM(B$2:$B58))</f>
        <v>0x3FC87D9A</v>
      </c>
    </row>
    <row r="59" spans="1:3" x14ac:dyDescent="0.2">
      <c r="A59" t="s">
        <v>374</v>
      </c>
      <c r="B59" s="5">
        <v>2</v>
      </c>
      <c r="C59" s="13" t="str">
        <f>"0x"&amp;DEC2HEX(HEX2DEC($C$1)+SUM(B$2:$B59))</f>
        <v>0x3FC87D9C</v>
      </c>
    </row>
    <row r="60" spans="1:3" x14ac:dyDescent="0.2">
      <c r="A60" t="s">
        <v>375</v>
      </c>
      <c r="B60" s="5">
        <v>220</v>
      </c>
      <c r="C60" s="13" t="str">
        <f>"0x"&amp;DEC2HEX(HEX2DEC($C$1)+SUM(B$2:$B60))</f>
        <v>0x3FC87E78</v>
      </c>
    </row>
    <row r="61" spans="1:3" x14ac:dyDescent="0.2">
      <c r="A61" t="s">
        <v>376</v>
      </c>
      <c r="B61" s="5">
        <v>3</v>
      </c>
      <c r="C61" s="13" t="str">
        <f>"0x"&amp;DEC2HEX(HEX2DEC($C$1)+SUM(B$2:$B61))</f>
        <v>0x3FC87E7B</v>
      </c>
    </row>
    <row r="62" spans="1:3" x14ac:dyDescent="0.2">
      <c r="A62" t="s">
        <v>268</v>
      </c>
      <c r="B62" s="5">
        <v>1</v>
      </c>
      <c r="C62" s="13" t="str">
        <f>"0x"&amp;DEC2HEX(HEX2DEC($C$1)+SUM(B$2:$B62))</f>
        <v>0x3FC87E7C</v>
      </c>
    </row>
    <row r="63" spans="1:3" x14ac:dyDescent="0.2">
      <c r="C63" s="13" t="str">
        <f>"0x"&amp;DEC2HEX(HEX2DEC($C$1)+SUM(B$2:$B63))</f>
        <v>0x3FC87E7C</v>
      </c>
    </row>
    <row r="64" spans="1:3" x14ac:dyDescent="0.2">
      <c r="A64" t="s">
        <v>377</v>
      </c>
      <c r="B64" s="5">
        <v>48</v>
      </c>
      <c r="C64" s="13" t="str">
        <f>"0x"&amp;DEC2HEX(HEX2DEC($C$1)+SUM(B$2:$B64))</f>
        <v>0x3FC87EAC</v>
      </c>
    </row>
    <row r="65" spans="1:5" x14ac:dyDescent="0.2">
      <c r="A65" t="s">
        <v>378</v>
      </c>
      <c r="B65" s="5">
        <v>68</v>
      </c>
      <c r="C65" s="13" t="str">
        <f>"0x"&amp;DEC2HEX(HEX2DEC($C$1)+SUM(B$2:$B65))</f>
        <v>0x3FC87EF0</v>
      </c>
    </row>
    <row r="66" spans="1:5" x14ac:dyDescent="0.2">
      <c r="A66" t="s">
        <v>379</v>
      </c>
      <c r="B66" s="5">
        <v>960</v>
      </c>
      <c r="C66" s="13" t="str">
        <f>"0x"&amp;DEC2HEX(HEX2DEC($C$1)+SUM(B$2:$B66))</f>
        <v>0x3FC882B0</v>
      </c>
    </row>
    <row r="67" spans="1:5" x14ac:dyDescent="0.2">
      <c r="A67" t="s">
        <v>380</v>
      </c>
      <c r="B67" s="5">
        <v>96</v>
      </c>
      <c r="C67" s="13" t="str">
        <f>"0x"&amp;DEC2HEX(HEX2DEC($C$1)+SUM(B$2:$B67))</f>
        <v>0x3FC88310</v>
      </c>
    </row>
    <row r="68" spans="1:5" x14ac:dyDescent="0.2">
      <c r="A68" t="s">
        <v>381</v>
      </c>
      <c r="B68" s="5">
        <v>12</v>
      </c>
      <c r="C68" s="13" t="str">
        <f>"0x"&amp;DEC2HEX(HEX2DEC($C$1)+SUM(B$2:$B68))</f>
        <v>0x3FC8831C</v>
      </c>
    </row>
    <row r="69" spans="1:5" x14ac:dyDescent="0.2">
      <c r="A69" t="s">
        <v>382</v>
      </c>
      <c r="B69" s="5">
        <v>72</v>
      </c>
      <c r="C69" s="13" t="str">
        <f>"0x"&amp;DEC2HEX(HEX2DEC($C$1)+SUM(B$2:$B69))</f>
        <v>0x3FC88364</v>
      </c>
    </row>
    <row r="70" spans="1:5" x14ac:dyDescent="0.2">
      <c r="A70" t="s">
        <v>383</v>
      </c>
      <c r="B70" s="5">
        <v>156</v>
      </c>
      <c r="C70" s="13" t="str">
        <f>"0x"&amp;DEC2HEX(HEX2DEC($C$1)+SUM(B$2:$B70))</f>
        <v>0x3FC88400</v>
      </c>
    </row>
    <row r="71" spans="1:5" x14ac:dyDescent="0.2">
      <c r="A71" t="s">
        <v>384</v>
      </c>
      <c r="B71" s="5">
        <v>168</v>
      </c>
      <c r="C71" s="13" t="str">
        <f>"0x"&amp;DEC2HEX(HEX2DEC($C$1)+SUM(B$2:$B71))</f>
        <v>0x3FC884A8</v>
      </c>
    </row>
    <row r="72" spans="1:5" x14ac:dyDescent="0.2">
      <c r="A72" t="s">
        <v>385</v>
      </c>
      <c r="B72" s="5">
        <v>24</v>
      </c>
      <c r="C72" s="13" t="str">
        <f>"0x"&amp;DEC2HEX(HEX2DEC($C$1)+SUM(B$2:$B72))</f>
        <v>0x3FC884C0</v>
      </c>
    </row>
    <row r="73" spans="1:5" x14ac:dyDescent="0.2">
      <c r="A73" t="s">
        <v>386</v>
      </c>
      <c r="B73" s="5">
        <v>96</v>
      </c>
      <c r="C73" s="13" t="str">
        <f>"0x"&amp;DEC2HEX(HEX2DEC($C$1)+SUM(B$2:$B73))</f>
        <v>0x3FC88520</v>
      </c>
    </row>
    <row r="74" spans="1:5" x14ac:dyDescent="0.2">
      <c r="A74" t="s">
        <v>387</v>
      </c>
      <c r="B74" s="5">
        <v>120</v>
      </c>
      <c r="C74" s="13" t="str">
        <f>"0x"&amp;DEC2HEX(HEX2DEC($C$1)+SUM(B$2:$B74))</f>
        <v>0x3FC88598</v>
      </c>
    </row>
    <row r="75" spans="1:5" x14ac:dyDescent="0.2">
      <c r="A75" t="s">
        <v>388</v>
      </c>
      <c r="B75" s="5">
        <v>28</v>
      </c>
      <c r="C75" s="13" t="str">
        <f>"0x"&amp;DEC2HEX(HEX2DEC($C$1)+SUM(B$2:$B75))</f>
        <v>0x3FC885B4</v>
      </c>
    </row>
    <row r="76" spans="1:5" x14ac:dyDescent="0.2">
      <c r="A76" t="s">
        <v>389</v>
      </c>
      <c r="B76" s="5">
        <v>4</v>
      </c>
      <c r="C76" s="13" t="str">
        <f>"0x"&amp;DEC2HEX(HEX2DEC($C$1)+SUM(B$2:$B76))</f>
        <v>0x3FC885B8</v>
      </c>
    </row>
    <row r="77" spans="1:5" x14ac:dyDescent="0.2">
      <c r="A77" t="s">
        <v>390</v>
      </c>
      <c r="B77" s="5">
        <v>56</v>
      </c>
      <c r="C77" s="13" t="str">
        <f>"0x"&amp;DEC2HEX(HEX2DEC($C$1)+SUM(B$2:$B77))</f>
        <v>0x3FC885F0</v>
      </c>
      <c r="D77" s="6">
        <f>SUM(B$2:$B77)</f>
        <v>4496</v>
      </c>
      <c r="E77" s="9" t="str">
        <f>"0x"&amp;DEC2HEX(D77)</f>
        <v>0x1190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337E-8409-2E4B-8A62-96A8814057A0}">
  <dimension ref="A1:E210"/>
  <sheetViews>
    <sheetView topLeftCell="A192" workbookViewId="0">
      <selection activeCell="C209" sqref="C209"/>
    </sheetView>
  </sheetViews>
  <sheetFormatPr baseColWidth="10" defaultRowHeight="16" x14ac:dyDescent="0.2"/>
  <cols>
    <col min="1" max="1" width="70.33203125" customWidth="1"/>
    <col min="3" max="3" width="17.6640625" style="10" customWidth="1"/>
    <col min="5" max="5" width="35.1640625" customWidth="1"/>
  </cols>
  <sheetData>
    <row r="1" spans="1:3" x14ac:dyDescent="0.2">
      <c r="C1" s="9" t="s">
        <v>2494</v>
      </c>
    </row>
    <row r="2" spans="1:3" x14ac:dyDescent="0.2">
      <c r="A2" t="s">
        <v>407</v>
      </c>
      <c r="B2">
        <v>4</v>
      </c>
      <c r="C2" s="11" t="str">
        <f>"0x"&amp;DEC2HEX(HEX2DEC($C$1)+SUM(B$2:$B2))</f>
        <v>0x3FC887E4</v>
      </c>
    </row>
    <row r="3" spans="1:3" x14ac:dyDescent="0.2">
      <c r="A3" t="s">
        <v>408</v>
      </c>
      <c r="B3">
        <v>4</v>
      </c>
      <c r="C3" s="11" t="str">
        <f>"0x"&amp;DEC2HEX(HEX2DEC($C$1)+SUM(B$2:$B3))</f>
        <v>0x3FC887E8</v>
      </c>
    </row>
    <row r="4" spans="1:3" x14ac:dyDescent="0.2">
      <c r="A4" t="s">
        <v>409</v>
      </c>
      <c r="B4">
        <v>1</v>
      </c>
      <c r="C4" s="11" t="str">
        <f>"0x"&amp;DEC2HEX(HEX2DEC($C$1)+SUM(B$2:$B4))</f>
        <v>0x3FC887E9</v>
      </c>
    </row>
    <row r="5" spans="1:3" x14ac:dyDescent="0.2">
      <c r="A5" t="s">
        <v>268</v>
      </c>
      <c r="B5">
        <v>3</v>
      </c>
      <c r="C5" s="11" t="str">
        <f>"0x"&amp;DEC2HEX(HEX2DEC($C$1)+SUM(B$2:$B5))</f>
        <v>0x3FC887EC</v>
      </c>
    </row>
    <row r="6" spans="1:3" x14ac:dyDescent="0.2">
      <c r="A6" t="s">
        <v>410</v>
      </c>
      <c r="B6">
        <v>4</v>
      </c>
      <c r="C6" s="11" t="str">
        <f>"0x"&amp;DEC2HEX(HEX2DEC($C$1)+SUM(B$2:$B6))</f>
        <v>0x3FC887F0</v>
      </c>
    </row>
    <row r="7" spans="1:3" x14ac:dyDescent="0.2">
      <c r="A7" t="s">
        <v>411</v>
      </c>
      <c r="B7">
        <v>4</v>
      </c>
      <c r="C7" s="11" t="str">
        <f>"0x"&amp;DEC2HEX(HEX2DEC($C$1)+SUM(B$2:$B7))</f>
        <v>0x3FC887F4</v>
      </c>
    </row>
    <row r="8" spans="1:3" x14ac:dyDescent="0.2">
      <c r="A8" t="s">
        <v>412</v>
      </c>
      <c r="B8">
        <v>4</v>
      </c>
      <c r="C8" s="11" t="str">
        <f>"0x"&amp;DEC2HEX(HEX2DEC($C$1)+SUM(B$2:$B8))</f>
        <v>0x3FC887F8</v>
      </c>
    </row>
    <row r="9" spans="1:3" x14ac:dyDescent="0.2">
      <c r="A9" t="s">
        <v>413</v>
      </c>
      <c r="B9">
        <v>4</v>
      </c>
      <c r="C9" s="11" t="str">
        <f>"0x"&amp;DEC2HEX(HEX2DEC($C$1)+SUM(B$2:$B9))</f>
        <v>0x3FC887FC</v>
      </c>
    </row>
    <row r="10" spans="1:3" x14ac:dyDescent="0.2">
      <c r="A10" t="s">
        <v>414</v>
      </c>
      <c r="B10">
        <v>4</v>
      </c>
      <c r="C10" s="11" t="str">
        <f>"0x"&amp;DEC2HEX(HEX2DEC($C$1)+SUM(B$2:$B10))</f>
        <v>0x3FC88800</v>
      </c>
    </row>
    <row r="11" spans="1:3" x14ac:dyDescent="0.2">
      <c r="C11" s="11" t="str">
        <f>"0x"&amp;DEC2HEX(HEX2DEC($C$1)+SUM(B$2:$B11))</f>
        <v>0x3FC88800</v>
      </c>
    </row>
    <row r="12" spans="1:3" x14ac:dyDescent="0.2">
      <c r="A12" t="s">
        <v>2495</v>
      </c>
      <c r="B12">
        <v>848</v>
      </c>
      <c r="C12" s="11" t="str">
        <f>"0x"&amp;DEC2HEX(HEX2DEC($C$1)+SUM(B$2:$B12))</f>
        <v>0x3FC88B50</v>
      </c>
    </row>
    <row r="13" spans="1:3" x14ac:dyDescent="0.2">
      <c r="A13" t="s">
        <v>2496</v>
      </c>
      <c r="B13">
        <v>2</v>
      </c>
      <c r="C13" s="11" t="str">
        <f>"0x"&amp;DEC2HEX(HEX2DEC($C$1)+SUM(B$2:$B13))</f>
        <v>0x3FC88B52</v>
      </c>
    </row>
    <row r="14" spans="1:3" x14ac:dyDescent="0.2">
      <c r="A14" t="s">
        <v>268</v>
      </c>
      <c r="B14">
        <v>6</v>
      </c>
      <c r="C14" s="11" t="str">
        <f>"0x"&amp;DEC2HEX(HEX2DEC($C$1)+SUM(B$2:$B14))</f>
        <v>0x3FC88B58</v>
      </c>
    </row>
    <row r="15" spans="1:3" x14ac:dyDescent="0.2">
      <c r="A15" t="s">
        <v>2497</v>
      </c>
      <c r="B15">
        <v>216</v>
      </c>
      <c r="C15" s="11" t="str">
        <f>"0x"&amp;DEC2HEX(HEX2DEC($C$1)+SUM(B$2:$B15))</f>
        <v>0x3FC88C30</v>
      </c>
    </row>
    <row r="16" spans="1:3" x14ac:dyDescent="0.2">
      <c r="A16" t="s">
        <v>2498</v>
      </c>
      <c r="B16">
        <v>40</v>
      </c>
      <c r="C16" s="11" t="str">
        <f>"0x"&amp;DEC2HEX(HEX2DEC($C$1)+SUM(B$2:$B16))</f>
        <v>0x3FC88C58</v>
      </c>
    </row>
    <row r="17" spans="1:3" x14ac:dyDescent="0.2">
      <c r="A17" t="s">
        <v>2499</v>
      </c>
      <c r="B17">
        <v>56</v>
      </c>
      <c r="C17" s="11" t="str">
        <f>"0x"&amp;DEC2HEX(HEX2DEC($C$1)+SUM(B$2:$B17))</f>
        <v>0x3FC88C90</v>
      </c>
    </row>
    <row r="18" spans="1:3" x14ac:dyDescent="0.2">
      <c r="A18" t="s">
        <v>2500</v>
      </c>
      <c r="B18">
        <v>72</v>
      </c>
      <c r="C18" s="11" t="str">
        <f>"0x"&amp;DEC2HEX(HEX2DEC($C$1)+SUM(B$2:$B18))</f>
        <v>0x3FC88CD8</v>
      </c>
    </row>
    <row r="19" spans="1:3" x14ac:dyDescent="0.2">
      <c r="A19" t="s">
        <v>2501</v>
      </c>
      <c r="B19">
        <v>98304</v>
      </c>
      <c r="C19" s="11" t="str">
        <f>"0x"&amp;DEC2HEX(HEX2DEC($C$1)+SUM(B$2:$B19))</f>
        <v>0x3FCA0CD8</v>
      </c>
    </row>
    <row r="20" spans="1:3" x14ac:dyDescent="0.2">
      <c r="A20" t="s">
        <v>2502</v>
      </c>
      <c r="B20">
        <v>1</v>
      </c>
      <c r="C20" s="11" t="str">
        <f>"0x"&amp;DEC2HEX(HEX2DEC($C$1)+SUM(B$2:$B20))</f>
        <v>0x3FCA0CD9</v>
      </c>
    </row>
    <row r="21" spans="1:3" x14ac:dyDescent="0.2">
      <c r="A21" t="s">
        <v>268</v>
      </c>
      <c r="B21">
        <v>7</v>
      </c>
      <c r="C21" s="11" t="str">
        <f>"0x"&amp;DEC2HEX(HEX2DEC($C$1)+SUM(B$2:$B21))</f>
        <v>0x3FCA0CE0</v>
      </c>
    </row>
    <row r="22" spans="1:3" x14ac:dyDescent="0.2">
      <c r="A22" t="s">
        <v>2502</v>
      </c>
      <c r="B22">
        <v>776</v>
      </c>
      <c r="C22" s="11" t="str">
        <f>"0x"&amp;DEC2HEX(HEX2DEC($C$1)+SUM(B$2:$B22))</f>
        <v>0x3FCA0FE8</v>
      </c>
    </row>
    <row r="23" spans="1:3" x14ac:dyDescent="0.2">
      <c r="A23" t="s">
        <v>2502</v>
      </c>
      <c r="B23">
        <v>68</v>
      </c>
      <c r="C23" s="13" t="str">
        <f>"0x"&amp;DEC2HEX(HEX2DEC($C$1)+SUM(B$2:$B23))</f>
        <v>0x3FCA102C</v>
      </c>
    </row>
    <row r="24" spans="1:3" x14ac:dyDescent="0.2">
      <c r="A24" t="s">
        <v>2502</v>
      </c>
      <c r="B24">
        <v>44</v>
      </c>
      <c r="C24" s="13" t="str">
        <f>"0x"&amp;DEC2HEX(HEX2DEC($C$1)+SUM(B$2:$B24))</f>
        <v>0x3FCA1058</v>
      </c>
    </row>
    <row r="25" spans="1:3" x14ac:dyDescent="0.2">
      <c r="A25" t="s">
        <v>2502</v>
      </c>
      <c r="B25">
        <v>68</v>
      </c>
      <c r="C25" s="13" t="str">
        <f>"0x"&amp;DEC2HEX(HEX2DEC($C$1)+SUM(B$2:$B25))</f>
        <v>0x3FCA109C</v>
      </c>
    </row>
    <row r="26" spans="1:3" x14ac:dyDescent="0.2">
      <c r="A26" t="s">
        <v>2502</v>
      </c>
      <c r="B26">
        <v>44</v>
      </c>
      <c r="C26" s="13"/>
    </row>
    <row r="27" spans="1:3" x14ac:dyDescent="0.2">
      <c r="A27" t="s">
        <v>415</v>
      </c>
      <c r="B27">
        <v>1</v>
      </c>
      <c r="C27" s="13" t="str">
        <f>"0x"&amp;DEC2HEX(HEX2DEC($C$1)+SUM(B$2:$B27))</f>
        <v>0x3FCA10C9</v>
      </c>
    </row>
    <row r="28" spans="1:3" x14ac:dyDescent="0.2">
      <c r="A28" t="s">
        <v>416</v>
      </c>
      <c r="B28">
        <v>84</v>
      </c>
      <c r="C28" s="11" t="str">
        <f>"0x"&amp;DEC2HEX(HEX2DEC($C$1)+SUM(B$2:$B28))</f>
        <v>0x3FCA111D</v>
      </c>
    </row>
    <row r="29" spans="1:3" x14ac:dyDescent="0.2">
      <c r="A29" t="s">
        <v>268</v>
      </c>
      <c r="B29">
        <v>3</v>
      </c>
      <c r="C29" s="11" t="str">
        <f>"0x"&amp;DEC2HEX(HEX2DEC($C$1)+SUM(B$2:$B29))</f>
        <v>0x3FCA1120</v>
      </c>
    </row>
    <row r="30" spans="1:3" x14ac:dyDescent="0.2">
      <c r="A30" t="s">
        <v>417</v>
      </c>
      <c r="B30">
        <v>12</v>
      </c>
      <c r="C30" s="11" t="str">
        <f>"0x"&amp;DEC2HEX(HEX2DEC($C$1)+SUM(B$2:$B30))</f>
        <v>0x3FCA112C</v>
      </c>
    </row>
    <row r="31" spans="1:3" x14ac:dyDescent="0.2">
      <c r="A31" t="s">
        <v>443</v>
      </c>
      <c r="B31">
        <v>1</v>
      </c>
      <c r="C31" s="11" t="str">
        <f>"0x"&amp;DEC2HEX(HEX2DEC($C$1)+SUM(B$2:$B31))</f>
        <v>0x3FCA112D</v>
      </c>
    </row>
    <row r="32" spans="1:3" x14ac:dyDescent="0.2">
      <c r="A32" t="s">
        <v>268</v>
      </c>
      <c r="B32">
        <v>3</v>
      </c>
      <c r="C32" s="11" t="str">
        <f>"0x"&amp;DEC2HEX(HEX2DEC($C$1)+SUM(B$2:$B32))</f>
        <v>0x3FCA1130</v>
      </c>
    </row>
    <row r="33" spans="1:3" x14ac:dyDescent="0.2">
      <c r="A33" t="s">
        <v>444</v>
      </c>
      <c r="B33">
        <v>4</v>
      </c>
      <c r="C33" s="11" t="str">
        <f>"0x"&amp;DEC2HEX(HEX2DEC($C$1)+SUM(B$2:$B33))</f>
        <v>0x3FCA1134</v>
      </c>
    </row>
    <row r="34" spans="1:3" x14ac:dyDescent="0.2">
      <c r="A34" t="s">
        <v>418</v>
      </c>
      <c r="B34">
        <v>4</v>
      </c>
      <c r="C34" s="11" t="str">
        <f>"0x"&amp;DEC2HEX(HEX2DEC($C$1)+SUM(B$2:$B34))</f>
        <v>0x3FCA1138</v>
      </c>
    </row>
    <row r="35" spans="1:3" x14ac:dyDescent="0.2">
      <c r="A35" t="s">
        <v>425</v>
      </c>
      <c r="B35">
        <v>12</v>
      </c>
      <c r="C35" s="11" t="str">
        <f>"0x"&amp;DEC2HEX(HEX2DEC($C$1)+SUM(B$2:$B35))</f>
        <v>0x3FCA1144</v>
      </c>
    </row>
    <row r="36" spans="1:3" x14ac:dyDescent="0.2">
      <c r="A36" t="s">
        <v>424</v>
      </c>
      <c r="B36">
        <v>12</v>
      </c>
      <c r="C36" s="11" t="str">
        <f>"0x"&amp;DEC2HEX(HEX2DEC($C$1)+SUM(B$2:$B36))</f>
        <v>0x3FCA1150</v>
      </c>
    </row>
    <row r="37" spans="1:3" x14ac:dyDescent="0.2">
      <c r="A37" t="s">
        <v>423</v>
      </c>
      <c r="B37">
        <v>12</v>
      </c>
      <c r="C37" s="11" t="str">
        <f>"0x"&amp;DEC2HEX(HEX2DEC($C$1)+SUM(B$2:$B37))</f>
        <v>0x3FCA115C</v>
      </c>
    </row>
    <row r="38" spans="1:3" x14ac:dyDescent="0.2">
      <c r="A38" t="s">
        <v>447</v>
      </c>
      <c r="B38">
        <v>8</v>
      </c>
      <c r="C38" s="11" t="str">
        <f>"0x"&amp;DEC2HEX(HEX2DEC($C$1)+SUM(B$2:$B38))</f>
        <v>0x3FCA1164</v>
      </c>
    </row>
    <row r="39" spans="1:3" x14ac:dyDescent="0.2">
      <c r="A39" t="s">
        <v>448</v>
      </c>
      <c r="B39">
        <v>8</v>
      </c>
      <c r="C39" s="11" t="str">
        <f>"0x"&amp;DEC2HEX(HEX2DEC($C$1)+SUM(B$2:$B39))</f>
        <v>0x3FCA116C</v>
      </c>
    </row>
    <row r="40" spans="1:3" x14ac:dyDescent="0.2">
      <c r="A40" t="s">
        <v>268</v>
      </c>
      <c r="B40">
        <v>4</v>
      </c>
      <c r="C40" s="11" t="str">
        <f>"0x"&amp;DEC2HEX(HEX2DEC($C$1)+SUM(B$2:$B40))</f>
        <v>0x3FCA1170</v>
      </c>
    </row>
    <row r="41" spans="1:3" x14ac:dyDescent="0.2">
      <c r="A41" t="s">
        <v>419</v>
      </c>
      <c r="B41">
        <v>1</v>
      </c>
      <c r="C41" s="11" t="str">
        <f>"0x"&amp;DEC2HEX(HEX2DEC($C$1)+SUM(B$2:$B41))</f>
        <v>0x3FCA1171</v>
      </c>
    </row>
    <row r="42" spans="1:3" x14ac:dyDescent="0.2">
      <c r="A42" t="s">
        <v>268</v>
      </c>
      <c r="B42">
        <v>3</v>
      </c>
      <c r="C42" s="11" t="str">
        <f>"0x"&amp;DEC2HEX(HEX2DEC($C$1)+SUM(B$2:$B42))</f>
        <v>0x3FCA1174</v>
      </c>
    </row>
    <row r="43" spans="1:3" x14ac:dyDescent="0.2">
      <c r="A43" t="s">
        <v>420</v>
      </c>
      <c r="B43">
        <v>4</v>
      </c>
      <c r="C43" s="11" t="str">
        <f>"0x"&amp;DEC2HEX(HEX2DEC($C$1)+SUM(B$2:$B43))</f>
        <v>0x3FCA1178</v>
      </c>
    </row>
    <row r="44" spans="1:3" x14ac:dyDescent="0.2">
      <c r="A44" t="s">
        <v>445</v>
      </c>
      <c r="B44">
        <v>4</v>
      </c>
      <c r="C44" s="11" t="str">
        <f>"0x"&amp;DEC2HEX(HEX2DEC($C$1)+SUM(B$2:$B44))</f>
        <v>0x3FCA117C</v>
      </c>
    </row>
    <row r="45" spans="1:3" x14ac:dyDescent="0.2">
      <c r="A45" t="s">
        <v>427</v>
      </c>
      <c r="B45">
        <v>12</v>
      </c>
      <c r="C45" s="11" t="str">
        <f>"0x"&amp;DEC2HEX(HEX2DEC($C$1)+SUM(B$2:$B45))</f>
        <v>0x3FCA1188</v>
      </c>
    </row>
    <row r="46" spans="1:3" x14ac:dyDescent="0.2">
      <c r="A46" t="s">
        <v>268</v>
      </c>
      <c r="B46">
        <v>4</v>
      </c>
      <c r="C46" s="11" t="str">
        <f>"0x"&amp;DEC2HEX(HEX2DEC($C$1)+SUM(B$2:$B46))</f>
        <v>0x3FCA118C</v>
      </c>
    </row>
    <row r="47" spans="1:3" x14ac:dyDescent="0.2">
      <c r="A47" t="s">
        <v>428</v>
      </c>
      <c r="B47">
        <v>12</v>
      </c>
      <c r="C47" s="11" t="str">
        <f>"0x"&amp;DEC2HEX(HEX2DEC($C$1)+SUM(B$2:$B47))</f>
        <v>0x3FCA1198</v>
      </c>
    </row>
    <row r="48" spans="1:3" x14ac:dyDescent="0.2">
      <c r="A48" t="s">
        <v>446</v>
      </c>
      <c r="B48">
        <v>24</v>
      </c>
      <c r="C48" s="11" t="str">
        <f>"0x"&amp;DEC2HEX(HEX2DEC($C$1)+SUM(B$2:$B48))</f>
        <v>0x3FCA11B0</v>
      </c>
    </row>
    <row r="49" spans="1:3" x14ac:dyDescent="0.2">
      <c r="A49" t="s">
        <v>2415</v>
      </c>
      <c r="B49">
        <v>1492</v>
      </c>
      <c r="C49" s="11" t="str">
        <f>"0x"&amp;DEC2HEX(HEX2DEC($C$1)+SUM(B$2:$B49))</f>
        <v>0x3FCA1784</v>
      </c>
    </row>
    <row r="50" spans="1:3" x14ac:dyDescent="0.2">
      <c r="A50" t="s">
        <v>421</v>
      </c>
      <c r="B50">
        <v>4</v>
      </c>
      <c r="C50" s="11" t="str">
        <f>"0x"&amp;DEC2HEX(HEX2DEC($C$1)+SUM(B$2:$B50))</f>
        <v>0x3FCA1788</v>
      </c>
    </row>
    <row r="51" spans="1:3" x14ac:dyDescent="0.2">
      <c r="A51" t="s">
        <v>422</v>
      </c>
      <c r="B51">
        <v>12</v>
      </c>
      <c r="C51" s="11" t="str">
        <f>"0x"&amp;DEC2HEX(HEX2DEC($C$1)+SUM(B$2:$B51))</f>
        <v>0x3FCA1794</v>
      </c>
    </row>
    <row r="52" spans="1:3" x14ac:dyDescent="0.2">
      <c r="A52" t="s">
        <v>426</v>
      </c>
      <c r="B52">
        <v>1</v>
      </c>
      <c r="C52" s="11" t="str">
        <f>"0x"&amp;DEC2HEX(HEX2DEC($C$1)+SUM(B$2:$B52))</f>
        <v>0x3FCA1795</v>
      </c>
    </row>
    <row r="53" spans="1:3" x14ac:dyDescent="0.2">
      <c r="A53" t="s">
        <v>268</v>
      </c>
      <c r="B53">
        <v>3</v>
      </c>
      <c r="C53" s="11" t="str">
        <f>"0x"&amp;DEC2HEX(HEX2DEC($C$1)+SUM(B$2:$B53))</f>
        <v>0x3FCA1798</v>
      </c>
    </row>
    <row r="54" spans="1:3" x14ac:dyDescent="0.2">
      <c r="A54" t="s">
        <v>429</v>
      </c>
      <c r="B54">
        <v>12</v>
      </c>
      <c r="C54" s="11" t="str">
        <f>"0x"&amp;DEC2HEX(HEX2DEC($C$1)+SUM(B$2:$B54))</f>
        <v>0x3FCA17A4</v>
      </c>
    </row>
    <row r="55" spans="1:3" x14ac:dyDescent="0.2">
      <c r="A55" t="s">
        <v>430</v>
      </c>
      <c r="B55">
        <v>12</v>
      </c>
      <c r="C55" s="11" t="str">
        <f>"0x"&amp;DEC2HEX(HEX2DEC($C$1)+SUM(B$2:$B55))</f>
        <v>0x3FCA17B0</v>
      </c>
    </row>
    <row r="56" spans="1:3" x14ac:dyDescent="0.2">
      <c r="A56" t="s">
        <v>431</v>
      </c>
      <c r="B56">
        <v>12</v>
      </c>
      <c r="C56" s="11" t="str">
        <f>"0x"&amp;DEC2HEX(HEX2DEC($C$1)+SUM(B$2:$B56))</f>
        <v>0x3FCA17BC</v>
      </c>
    </row>
    <row r="57" spans="1:3" x14ac:dyDescent="0.2">
      <c r="A57" t="s">
        <v>432</v>
      </c>
      <c r="B57">
        <v>12</v>
      </c>
      <c r="C57" s="11" t="str">
        <f>"0x"&amp;DEC2HEX(HEX2DEC($C$1)+SUM(B$2:$B57))</f>
        <v>0x3FCA17C8</v>
      </c>
    </row>
    <row r="58" spans="1:3" x14ac:dyDescent="0.2">
      <c r="A58" t="s">
        <v>433</v>
      </c>
      <c r="B58">
        <v>12</v>
      </c>
      <c r="C58" s="11" t="str">
        <f>"0x"&amp;DEC2HEX(HEX2DEC($C$1)+SUM(B$2:$B58))</f>
        <v>0x3FCA17D4</v>
      </c>
    </row>
    <row r="59" spans="1:3" x14ac:dyDescent="0.2">
      <c r="A59" t="s">
        <v>434</v>
      </c>
      <c r="B59">
        <v>12</v>
      </c>
      <c r="C59" s="11" t="str">
        <f>"0x"&amp;DEC2HEX(HEX2DEC($C$1)+SUM(B$2:$B59))</f>
        <v>0x3FCA17E0</v>
      </c>
    </row>
    <row r="60" spans="1:3" x14ac:dyDescent="0.2">
      <c r="A60" t="s">
        <v>435</v>
      </c>
      <c r="B60">
        <v>12</v>
      </c>
      <c r="C60" s="11" t="str">
        <f>"0x"&amp;DEC2HEX(HEX2DEC($C$1)+SUM(B$2:$B60))</f>
        <v>0x3FCA17EC</v>
      </c>
    </row>
    <row r="61" spans="1:3" x14ac:dyDescent="0.2">
      <c r="A61" t="s">
        <v>436</v>
      </c>
      <c r="B61">
        <v>12</v>
      </c>
      <c r="C61" s="11" t="str">
        <f>"0x"&amp;DEC2HEX(HEX2DEC($C$1)+SUM(B$2:$B61))</f>
        <v>0x3FCA17F8</v>
      </c>
    </row>
    <row r="62" spans="1:3" x14ac:dyDescent="0.2">
      <c r="A62" t="s">
        <v>437</v>
      </c>
      <c r="B62">
        <v>12</v>
      </c>
      <c r="C62" s="11" t="str">
        <f>"0x"&amp;DEC2HEX(HEX2DEC($C$1)+SUM(B$2:$B62))</f>
        <v>0x3FCA1804</v>
      </c>
    </row>
    <row r="63" spans="1:3" x14ac:dyDescent="0.2">
      <c r="A63" t="s">
        <v>438</v>
      </c>
      <c r="B63">
        <v>12</v>
      </c>
      <c r="C63" s="11" t="str">
        <f>"0x"&amp;DEC2HEX(HEX2DEC($C$1)+SUM(B$2:$B63))</f>
        <v>0x3FCA1810</v>
      </c>
    </row>
    <row r="64" spans="1:3" x14ac:dyDescent="0.2">
      <c r="A64" t="s">
        <v>439</v>
      </c>
      <c r="B64">
        <v>12</v>
      </c>
      <c r="C64" s="11" t="str">
        <f>"0x"&amp;DEC2HEX(HEX2DEC($C$1)+SUM(B$2:$B64))</f>
        <v>0x3FCA181C</v>
      </c>
    </row>
    <row r="65" spans="1:3" x14ac:dyDescent="0.2">
      <c r="A65" t="s">
        <v>440</v>
      </c>
      <c r="B65">
        <v>12</v>
      </c>
      <c r="C65" s="11" t="str">
        <f>"0x"&amp;DEC2HEX(HEX2DEC($C$1)+SUM(B$2:$B65))</f>
        <v>0x3FCA1828</v>
      </c>
    </row>
    <row r="66" spans="1:3" x14ac:dyDescent="0.2">
      <c r="A66" t="s">
        <v>441</v>
      </c>
      <c r="B66">
        <v>12</v>
      </c>
      <c r="C66" s="11" t="str">
        <f>"0x"&amp;DEC2HEX(HEX2DEC($C$1)+SUM(B$2:$B66))</f>
        <v>0x3FCA1834</v>
      </c>
    </row>
    <row r="67" spans="1:3" x14ac:dyDescent="0.2">
      <c r="A67" t="s">
        <v>442</v>
      </c>
      <c r="B67">
        <v>12</v>
      </c>
      <c r="C67" s="11" t="str">
        <f>"0x"&amp;DEC2HEX(HEX2DEC($C$1)+SUM(B$2:$B67))</f>
        <v>0x3FCA1840</v>
      </c>
    </row>
    <row r="68" spans="1:3" x14ac:dyDescent="0.2">
      <c r="A68" t="s">
        <v>449</v>
      </c>
      <c r="B68">
        <v>32</v>
      </c>
      <c r="C68" s="11" t="str">
        <f>"0x"&amp;DEC2HEX(HEX2DEC($C$1)+SUM(B$2:$B68))</f>
        <v>0x3FCA1860</v>
      </c>
    </row>
    <row r="69" spans="1:3" x14ac:dyDescent="0.2">
      <c r="A69" t="s">
        <v>450</v>
      </c>
      <c r="B69">
        <v>1</v>
      </c>
      <c r="C69" s="11" t="str">
        <f>"0x"&amp;DEC2HEX(HEX2DEC($C$1)+SUM(B$2:$B69))</f>
        <v>0x3FCA1861</v>
      </c>
    </row>
    <row r="70" spans="1:3" x14ac:dyDescent="0.2">
      <c r="A70" t="s">
        <v>268</v>
      </c>
      <c r="B70">
        <v>3</v>
      </c>
      <c r="C70" s="11" t="str">
        <f>"0x"&amp;DEC2HEX(HEX2DEC($C$1)+SUM(B$2:$B70))</f>
        <v>0x3FCA1864</v>
      </c>
    </row>
    <row r="71" spans="1:3" x14ac:dyDescent="0.2">
      <c r="A71" t="s">
        <v>2503</v>
      </c>
      <c r="B71">
        <v>24</v>
      </c>
      <c r="C71" s="11" t="str">
        <f>"0x"&amp;DEC2HEX(HEX2DEC($C$1)+SUM(B$2:$B71))</f>
        <v>0x3FCA187C</v>
      </c>
    </row>
    <row r="72" spans="1:3" x14ac:dyDescent="0.2">
      <c r="A72" t="s">
        <v>451</v>
      </c>
      <c r="B72">
        <v>16</v>
      </c>
      <c r="C72" s="11" t="str">
        <f>"0x"&amp;DEC2HEX(HEX2DEC($C$1)+SUM(B$2:$B72))</f>
        <v>0x3FCA188C</v>
      </c>
    </row>
    <row r="73" spans="1:3" x14ac:dyDescent="0.2">
      <c r="A73" t="s">
        <v>452</v>
      </c>
      <c r="B73">
        <v>1</v>
      </c>
      <c r="C73" s="11" t="str">
        <f>"0x"&amp;DEC2HEX(HEX2DEC($C$1)+SUM(B$2:$B73))</f>
        <v>0x3FCA188D</v>
      </c>
    </row>
    <row r="74" spans="1:3" x14ac:dyDescent="0.2">
      <c r="A74" t="s">
        <v>2504</v>
      </c>
      <c r="B74">
        <v>1</v>
      </c>
      <c r="C74" s="11" t="str">
        <f>"0x"&amp;DEC2HEX(HEX2DEC($C$1)+SUM(B$2:$B74))</f>
        <v>0x3FCA188E</v>
      </c>
    </row>
    <row r="75" spans="1:3" x14ac:dyDescent="0.2">
      <c r="A75" t="s">
        <v>2505</v>
      </c>
      <c r="B75">
        <v>6</v>
      </c>
      <c r="C75" s="11" t="str">
        <f>"0x"&amp;DEC2HEX(HEX2DEC($C$1)+SUM(B$2:$B75))</f>
        <v>0x3FCA1894</v>
      </c>
    </row>
    <row r="76" spans="1:3" x14ac:dyDescent="0.2">
      <c r="A76" t="s">
        <v>2506</v>
      </c>
      <c r="B76">
        <v>1</v>
      </c>
      <c r="C76" s="11" t="str">
        <f>"0x"&amp;DEC2HEX(HEX2DEC($C$1)+SUM(B$2:$B76))</f>
        <v>0x3FCA1895</v>
      </c>
    </row>
    <row r="77" spans="1:3" x14ac:dyDescent="0.2">
      <c r="A77" t="s">
        <v>453</v>
      </c>
      <c r="B77">
        <v>1</v>
      </c>
      <c r="C77" s="11" t="str">
        <f>"0x"&amp;DEC2HEX(HEX2DEC($C$1)+SUM(B$2:$B77))</f>
        <v>0x3FCA1896</v>
      </c>
    </row>
    <row r="78" spans="1:3" x14ac:dyDescent="0.2">
      <c r="C78" s="11" t="str">
        <f>"0x"&amp;DEC2HEX(HEX2DEC($C$1)+SUM(B$2:$B78))</f>
        <v>0x3FCA1896</v>
      </c>
    </row>
    <row r="79" spans="1:3" x14ac:dyDescent="0.2">
      <c r="A79" t="s">
        <v>454</v>
      </c>
      <c r="B79">
        <v>1</v>
      </c>
      <c r="C79" s="11" t="str">
        <f>"0x"&amp;DEC2HEX(HEX2DEC($C$1)+SUM(B$2:$B79))</f>
        <v>0x3FCA1897</v>
      </c>
    </row>
    <row r="80" spans="1:3" x14ac:dyDescent="0.2">
      <c r="A80" t="s">
        <v>268</v>
      </c>
      <c r="B80">
        <v>1</v>
      </c>
      <c r="C80" s="11" t="str">
        <f>"0x"&amp;DEC2HEX(HEX2DEC($C$1)+SUM(B$2:$B80))</f>
        <v>0x3FCA1898</v>
      </c>
    </row>
    <row r="81" spans="1:3" x14ac:dyDescent="0.2">
      <c r="A81" t="s">
        <v>455</v>
      </c>
      <c r="B81">
        <v>4</v>
      </c>
      <c r="C81" s="11" t="str">
        <f>"0x"&amp;DEC2HEX(HEX2DEC($C$1)+SUM(B$2:$B81))</f>
        <v>0x3FCA189C</v>
      </c>
    </row>
    <row r="82" spans="1:3" x14ac:dyDescent="0.2">
      <c r="A82" t="s">
        <v>456</v>
      </c>
      <c r="B82">
        <v>1</v>
      </c>
      <c r="C82" s="11" t="str">
        <f>"0x"&amp;DEC2HEX(HEX2DEC($C$1)+SUM(B$2:$B82))</f>
        <v>0x3FCA189D</v>
      </c>
    </row>
    <row r="83" spans="1:3" x14ac:dyDescent="0.2">
      <c r="A83" t="s">
        <v>268</v>
      </c>
      <c r="B83">
        <v>3</v>
      </c>
      <c r="C83" s="11" t="str">
        <f>"0x"&amp;DEC2HEX(HEX2DEC($C$1)+SUM(B$2:$B83))</f>
        <v>0x3FCA18A0</v>
      </c>
    </row>
    <row r="84" spans="1:3" x14ac:dyDescent="0.2">
      <c r="C84" s="11" t="str">
        <f>"0x"&amp;DEC2HEX(HEX2DEC($C$1)+SUM(B$2:$B84))</f>
        <v>0x3FCA18A0</v>
      </c>
    </row>
    <row r="85" spans="1:3" x14ac:dyDescent="0.2">
      <c r="A85" t="s">
        <v>457</v>
      </c>
      <c r="B85">
        <v>4</v>
      </c>
      <c r="C85" s="11" t="str">
        <f>"0x"&amp;DEC2HEX(HEX2DEC($C$1)+SUM(B$2:$B85))</f>
        <v>0x3FCA18A4</v>
      </c>
    </row>
    <row r="86" spans="1:3" x14ac:dyDescent="0.2">
      <c r="A86" t="s">
        <v>458</v>
      </c>
      <c r="B86">
        <v>4</v>
      </c>
      <c r="C86" s="11" t="str">
        <f>"0x"&amp;DEC2HEX(HEX2DEC($C$1)+SUM(B$2:$B86))</f>
        <v>0x3FCA18A8</v>
      </c>
    </row>
    <row r="87" spans="1:3" x14ac:dyDescent="0.2">
      <c r="A87" t="s">
        <v>459</v>
      </c>
      <c r="B87">
        <v>1</v>
      </c>
      <c r="C87" s="11" t="str">
        <f>"0x"&amp;DEC2HEX(HEX2DEC($C$1)+SUM(B$2:$B87))</f>
        <v>0x3FCA18A9</v>
      </c>
    </row>
    <row r="88" spans="1:3" x14ac:dyDescent="0.2">
      <c r="A88" t="s">
        <v>268</v>
      </c>
      <c r="B88">
        <v>3</v>
      </c>
      <c r="C88" s="11" t="str">
        <f>"0x"&amp;DEC2HEX(HEX2DEC($C$1)+SUM(B$2:$B88))</f>
        <v>0x3FCA18AC</v>
      </c>
    </row>
    <row r="89" spans="1:3" x14ac:dyDescent="0.2">
      <c r="C89" s="11" t="str">
        <f>"0x"&amp;DEC2HEX(HEX2DEC($C$1)+SUM(B$2:$B89))</f>
        <v>0x3FCA18AC</v>
      </c>
    </row>
    <row r="90" spans="1:3" x14ac:dyDescent="0.2">
      <c r="A90" t="s">
        <v>460</v>
      </c>
      <c r="B90">
        <v>668</v>
      </c>
      <c r="C90" s="11" t="str">
        <f>"0x"&amp;DEC2HEX(HEX2DEC($C$1)+SUM(B$2:$B90))</f>
        <v>0x3FCA1B48</v>
      </c>
    </row>
    <row r="91" spans="1:3" x14ac:dyDescent="0.2">
      <c r="A91" t="s">
        <v>461</v>
      </c>
      <c r="B91">
        <v>4</v>
      </c>
      <c r="C91" s="11" t="str">
        <f>"0x"&amp;DEC2HEX(HEX2DEC($C$1)+SUM(B$2:$B91))</f>
        <v>0x3FCA1B4C</v>
      </c>
    </row>
    <row r="92" spans="1:3" x14ac:dyDescent="0.2">
      <c r="A92" t="s">
        <v>462</v>
      </c>
      <c r="B92">
        <v>4</v>
      </c>
      <c r="C92" s="11" t="str">
        <f>"0x"&amp;DEC2HEX(HEX2DEC($C$1)+SUM(B$2:$B92))</f>
        <v>0x3FCA1B50</v>
      </c>
    </row>
    <row r="93" spans="1:3" x14ac:dyDescent="0.2">
      <c r="A93" t="s">
        <v>463</v>
      </c>
      <c r="B93">
        <v>4</v>
      </c>
      <c r="C93" s="11" t="str">
        <f>"0x"&amp;DEC2HEX(HEX2DEC($C$1)+SUM(B$2:$B93))</f>
        <v>0x3FCA1B54</v>
      </c>
    </row>
    <row r="94" spans="1:3" x14ac:dyDescent="0.2">
      <c r="A94" t="s">
        <v>464</v>
      </c>
      <c r="B94">
        <v>116</v>
      </c>
      <c r="C94" s="11" t="str">
        <f>"0x"&amp;DEC2HEX(HEX2DEC($C$1)+SUM(B$2:$B94))</f>
        <v>0x3FCA1BC8</v>
      </c>
    </row>
    <row r="95" spans="1:3" x14ac:dyDescent="0.2">
      <c r="A95" t="s">
        <v>465</v>
      </c>
      <c r="B95">
        <v>64</v>
      </c>
      <c r="C95" s="11" t="str">
        <f>"0x"&amp;DEC2HEX(HEX2DEC($C$1)+SUM(B$2:$B95))</f>
        <v>0x3FCA1C08</v>
      </c>
    </row>
    <row r="96" spans="1:3" x14ac:dyDescent="0.2">
      <c r="A96" t="s">
        <v>466</v>
      </c>
      <c r="B96">
        <v>20</v>
      </c>
      <c r="C96" s="11" t="str">
        <f>"0x"&amp;DEC2HEX(HEX2DEC($C$1)+SUM(B$2:$B96))</f>
        <v>0x3FCA1C1C</v>
      </c>
    </row>
    <row r="97" spans="1:3" x14ac:dyDescent="0.2">
      <c r="A97" t="s">
        <v>467</v>
      </c>
      <c r="B97">
        <v>12</v>
      </c>
      <c r="C97" s="11" t="str">
        <f>"0x"&amp;DEC2HEX(HEX2DEC($C$1)+SUM(B$2:$B97))</f>
        <v>0x3FCA1C28</v>
      </c>
    </row>
    <row r="98" spans="1:3" x14ac:dyDescent="0.2">
      <c r="A98" t="s">
        <v>468</v>
      </c>
      <c r="B98">
        <v>20</v>
      </c>
      <c r="C98" s="11" t="str">
        <f>"0x"&amp;DEC2HEX(HEX2DEC($C$1)+SUM(B$2:$B98))</f>
        <v>0x3FCA1C3C</v>
      </c>
    </row>
    <row r="99" spans="1:3" x14ac:dyDescent="0.2">
      <c r="A99" t="s">
        <v>469</v>
      </c>
      <c r="B99">
        <v>4</v>
      </c>
      <c r="C99" s="11" t="str">
        <f>"0x"&amp;DEC2HEX(HEX2DEC($C$1)+SUM(B$2:$B99))</f>
        <v>0x3FCA1C40</v>
      </c>
    </row>
    <row r="100" spans="1:3" x14ac:dyDescent="0.2">
      <c r="A100" t="s">
        <v>470</v>
      </c>
      <c r="B100">
        <v>1</v>
      </c>
      <c r="C100" s="11" t="str">
        <f>"0x"&amp;DEC2HEX(HEX2DEC($C$1)+SUM(B$2:$B100))</f>
        <v>0x3FCA1C41</v>
      </c>
    </row>
    <row r="101" spans="1:3" x14ac:dyDescent="0.2">
      <c r="A101" t="s">
        <v>471</v>
      </c>
      <c r="B101">
        <v>1</v>
      </c>
      <c r="C101" s="11" t="str">
        <f>"0x"&amp;DEC2HEX(HEX2DEC($C$1)+SUM(B$2:$B101))</f>
        <v>0x3FCA1C42</v>
      </c>
    </row>
    <row r="102" spans="1:3" x14ac:dyDescent="0.2">
      <c r="A102" t="s">
        <v>268</v>
      </c>
      <c r="B102">
        <v>2</v>
      </c>
      <c r="C102" s="11" t="str">
        <f>"0x"&amp;DEC2HEX(HEX2DEC($C$1)+SUM(B$2:$B102))</f>
        <v>0x3FCA1C44</v>
      </c>
    </row>
    <row r="103" spans="1:3" x14ac:dyDescent="0.2">
      <c r="A103" t="s">
        <v>472</v>
      </c>
      <c r="B103">
        <v>4</v>
      </c>
      <c r="C103" s="11" t="str">
        <f>"0x"&amp;DEC2HEX(HEX2DEC($C$1)+SUM(B$2:$B103))</f>
        <v>0x3FCA1C48</v>
      </c>
    </row>
    <row r="104" spans="1:3" x14ac:dyDescent="0.2">
      <c r="A104" t="s">
        <v>473</v>
      </c>
      <c r="B104">
        <v>4</v>
      </c>
      <c r="C104" s="11" t="str">
        <f>"0x"&amp;DEC2HEX(HEX2DEC($C$1)+SUM(B$2:$B104))</f>
        <v>0x3FCA1C4C</v>
      </c>
    </row>
    <row r="105" spans="1:3" x14ac:dyDescent="0.2">
      <c r="A105" t="s">
        <v>474</v>
      </c>
      <c r="B105">
        <v>4</v>
      </c>
      <c r="C105" s="11" t="str">
        <f>"0x"&amp;DEC2HEX(HEX2DEC($C$1)+SUM(B$2:$B105))</f>
        <v>0x3FCA1C50</v>
      </c>
    </row>
    <row r="106" spans="1:3" x14ac:dyDescent="0.2">
      <c r="A106" t="s">
        <v>475</v>
      </c>
      <c r="B106">
        <v>4</v>
      </c>
      <c r="C106" s="11" t="str">
        <f>"0x"&amp;DEC2HEX(HEX2DEC($C$1)+SUM(B$2:$B106))</f>
        <v>0x3FCA1C54</v>
      </c>
    </row>
    <row r="107" spans="1:3" x14ac:dyDescent="0.2">
      <c r="A107" t="s">
        <v>476</v>
      </c>
      <c r="B107">
        <v>1</v>
      </c>
      <c r="C107" s="11" t="str">
        <f>"0x"&amp;DEC2HEX(HEX2DEC($C$1)+SUM(B$2:$B107))</f>
        <v>0x3FCA1C55</v>
      </c>
    </row>
    <row r="108" spans="1:3" x14ac:dyDescent="0.2">
      <c r="A108" t="s">
        <v>268</v>
      </c>
      <c r="B108">
        <v>3</v>
      </c>
      <c r="C108" s="11" t="str">
        <f>"0x"&amp;DEC2HEX(HEX2DEC($C$1)+SUM(B$2:$B108))</f>
        <v>0x3FCA1C58</v>
      </c>
    </row>
    <row r="109" spans="1:3" x14ac:dyDescent="0.2">
      <c r="A109" t="s">
        <v>477</v>
      </c>
      <c r="B109">
        <v>20</v>
      </c>
      <c r="C109" s="11" t="str">
        <f>"0x"&amp;DEC2HEX(HEX2DEC($C$1)+SUM(B$2:$B109))</f>
        <v>0x3FCA1C6C</v>
      </c>
    </row>
    <row r="110" spans="1:3" x14ac:dyDescent="0.2">
      <c r="A110" t="s">
        <v>478</v>
      </c>
      <c r="B110">
        <v>1</v>
      </c>
      <c r="C110" s="11" t="str">
        <f>"0x"&amp;DEC2HEX(HEX2DEC($C$1)+SUM(B$2:$B110))</f>
        <v>0x3FCA1C6D</v>
      </c>
    </row>
    <row r="111" spans="1:3" x14ac:dyDescent="0.2">
      <c r="A111" t="s">
        <v>268</v>
      </c>
      <c r="B111">
        <v>3</v>
      </c>
      <c r="C111" s="11" t="str">
        <f>"0x"&amp;DEC2HEX(HEX2DEC($C$1)+SUM(B$2:$B111))</f>
        <v>0x3FCA1C70</v>
      </c>
    </row>
    <row r="112" spans="1:3" x14ac:dyDescent="0.2">
      <c r="A112" t="s">
        <v>479</v>
      </c>
      <c r="B112">
        <v>8</v>
      </c>
      <c r="C112" s="11" t="str">
        <f>"0x"&amp;DEC2HEX(HEX2DEC($C$1)+SUM(B$2:$B112))</f>
        <v>0x3FCA1C78</v>
      </c>
    </row>
    <row r="113" spans="1:3" x14ac:dyDescent="0.2">
      <c r="A113" t="s">
        <v>480</v>
      </c>
      <c r="B113">
        <v>1</v>
      </c>
      <c r="C113" s="11" t="str">
        <f>"0x"&amp;DEC2HEX(HEX2DEC($C$1)+SUM(B$2:$B113))</f>
        <v>0x3FCA1C79</v>
      </c>
    </row>
    <row r="114" spans="1:3" x14ac:dyDescent="0.2">
      <c r="A114" t="s">
        <v>481</v>
      </c>
      <c r="B114">
        <v>1</v>
      </c>
      <c r="C114" s="11" t="str">
        <f>"0x"&amp;DEC2HEX(HEX2DEC($C$1)+SUM(B$2:$B114))</f>
        <v>0x3FCA1C7A</v>
      </c>
    </row>
    <row r="115" spans="1:3" x14ac:dyDescent="0.2">
      <c r="A115" t="s">
        <v>482</v>
      </c>
      <c r="B115">
        <v>1</v>
      </c>
      <c r="C115" s="11" t="str">
        <f>"0x"&amp;DEC2HEX(HEX2DEC($C$1)+SUM(B$2:$B115))</f>
        <v>0x3FCA1C7B</v>
      </c>
    </row>
    <row r="116" spans="1:3" x14ac:dyDescent="0.2">
      <c r="A116" t="s">
        <v>268</v>
      </c>
      <c r="B116">
        <v>1</v>
      </c>
      <c r="C116" s="11" t="str">
        <f>"0x"&amp;DEC2HEX(HEX2DEC($C$1)+SUM(B$2:$B116))</f>
        <v>0x3FCA1C7C</v>
      </c>
    </row>
    <row r="117" spans="1:3" x14ac:dyDescent="0.2">
      <c r="A117" t="s">
        <v>483</v>
      </c>
      <c r="B117">
        <v>4</v>
      </c>
      <c r="C117" s="11" t="str">
        <f>"0x"&amp;DEC2HEX(HEX2DEC($C$1)+SUM(B$2:$B117))</f>
        <v>0x3FCA1C80</v>
      </c>
    </row>
    <row r="118" spans="1:3" x14ac:dyDescent="0.2">
      <c r="A118" t="s">
        <v>484</v>
      </c>
      <c r="B118">
        <v>1</v>
      </c>
      <c r="C118" s="11" t="str">
        <f>"0x"&amp;DEC2HEX(HEX2DEC($C$1)+SUM(B$2:$B118))</f>
        <v>0x3FCA1C81</v>
      </c>
    </row>
    <row r="119" spans="1:3" x14ac:dyDescent="0.2">
      <c r="A119" t="s">
        <v>485</v>
      </c>
      <c r="B119">
        <v>1</v>
      </c>
      <c r="C119" s="11" t="str">
        <f>"0x"&amp;DEC2HEX(HEX2DEC($C$1)+SUM(B$2:$B119))</f>
        <v>0x3FCA1C82</v>
      </c>
    </row>
    <row r="120" spans="1:3" x14ac:dyDescent="0.2">
      <c r="A120" t="s">
        <v>268</v>
      </c>
      <c r="B120">
        <v>6</v>
      </c>
      <c r="C120" s="11" t="str">
        <f>"0x"&amp;DEC2HEX(HEX2DEC($C$1)+SUM(B$2:$B120))</f>
        <v>0x3FCA1C88</v>
      </c>
    </row>
    <row r="121" spans="1:3" x14ac:dyDescent="0.2">
      <c r="A121" t="s">
        <v>486</v>
      </c>
      <c r="B121">
        <v>104</v>
      </c>
      <c r="C121" s="11" t="str">
        <f>"0x"&amp;DEC2HEX(HEX2DEC($C$1)+SUM(B$2:$B121))</f>
        <v>0x3FCA1CF0</v>
      </c>
    </row>
    <row r="122" spans="1:3" x14ac:dyDescent="0.2">
      <c r="A122" t="s">
        <v>487</v>
      </c>
      <c r="B122">
        <v>4</v>
      </c>
      <c r="C122" s="11" t="str">
        <f>"0x"&amp;DEC2HEX(HEX2DEC($C$1)+SUM(B$2:$B122))</f>
        <v>0x3FCA1CF4</v>
      </c>
    </row>
    <row r="123" spans="1:3" x14ac:dyDescent="0.2">
      <c r="A123" t="s">
        <v>488</v>
      </c>
      <c r="B123">
        <v>1</v>
      </c>
      <c r="C123" s="11" t="str">
        <f>"0x"&amp;DEC2HEX(HEX2DEC($C$1)+SUM(B$2:$B123))</f>
        <v>0x3FCA1CF5</v>
      </c>
    </row>
    <row r="124" spans="1:3" x14ac:dyDescent="0.2">
      <c r="A124" t="s">
        <v>489</v>
      </c>
      <c r="B124">
        <v>1</v>
      </c>
      <c r="C124" s="11" t="str">
        <f>"0x"&amp;DEC2HEX(HEX2DEC($C$1)+SUM(B$2:$B124))</f>
        <v>0x3FCA1CF6</v>
      </c>
    </row>
    <row r="125" spans="1:3" x14ac:dyDescent="0.2">
      <c r="A125" t="s">
        <v>268</v>
      </c>
      <c r="B125">
        <v>2</v>
      </c>
      <c r="C125" s="11" t="str">
        <f>"0x"&amp;DEC2HEX(HEX2DEC($C$1)+SUM(B$2:$B125))</f>
        <v>0x3FCA1CF8</v>
      </c>
    </row>
    <row r="126" spans="1:3" x14ac:dyDescent="0.2">
      <c r="A126" t="s">
        <v>490</v>
      </c>
      <c r="B126">
        <v>4</v>
      </c>
      <c r="C126" s="11" t="str">
        <f>"0x"&amp;DEC2HEX(HEX2DEC($C$1)+SUM(B$2:$B126))</f>
        <v>0x3FCA1CFC</v>
      </c>
    </row>
    <row r="127" spans="1:3" x14ac:dyDescent="0.2">
      <c r="A127" t="s">
        <v>491</v>
      </c>
      <c r="B127">
        <v>176</v>
      </c>
      <c r="C127" s="11" t="str">
        <f>"0x"&amp;DEC2HEX(HEX2DEC($C$1)+SUM(B$2:$B127))</f>
        <v>0x3FCA1DAC</v>
      </c>
    </row>
    <row r="128" spans="1:3" x14ac:dyDescent="0.2">
      <c r="A128" t="s">
        <v>492</v>
      </c>
      <c r="B128">
        <v>4</v>
      </c>
      <c r="C128" s="11" t="str">
        <f>"0x"&amp;DEC2HEX(HEX2DEC($C$1)+SUM(B$2:$B128))</f>
        <v>0x3FCA1DB0</v>
      </c>
    </row>
    <row r="129" spans="1:3" x14ac:dyDescent="0.2">
      <c r="A129" t="s">
        <v>493</v>
      </c>
      <c r="B129">
        <v>4</v>
      </c>
      <c r="C129" s="11" t="str">
        <f>"0x"&amp;DEC2HEX(HEX2DEC($C$1)+SUM(B$2:$B129))</f>
        <v>0x3FCA1DB4</v>
      </c>
    </row>
    <row r="130" spans="1:3" x14ac:dyDescent="0.2">
      <c r="A130" t="s">
        <v>494</v>
      </c>
      <c r="B130">
        <v>1284</v>
      </c>
      <c r="C130" s="11" t="str">
        <f>"0x"&amp;DEC2HEX(HEX2DEC($C$1)+SUM(B$2:$B130))</f>
        <v>0x3FCA22B8</v>
      </c>
    </row>
    <row r="131" spans="1:3" x14ac:dyDescent="0.2">
      <c r="A131" t="s">
        <v>495</v>
      </c>
      <c r="B131">
        <v>1</v>
      </c>
      <c r="C131" s="11" t="str">
        <f>"0x"&amp;DEC2HEX(HEX2DEC($C$1)+SUM(B$2:$B131))</f>
        <v>0x3FCA22B9</v>
      </c>
    </row>
    <row r="132" spans="1:3" x14ac:dyDescent="0.2">
      <c r="A132" t="s">
        <v>268</v>
      </c>
      <c r="B132">
        <v>3</v>
      </c>
      <c r="C132" s="11" t="str">
        <f>"0x"&amp;DEC2HEX(HEX2DEC($C$1)+SUM(B$2:$B132))</f>
        <v>0x3FCA22BC</v>
      </c>
    </row>
    <row r="133" spans="1:3" x14ac:dyDescent="0.2">
      <c r="A133" t="s">
        <v>496</v>
      </c>
      <c r="B133">
        <v>4</v>
      </c>
      <c r="C133" s="11" t="str">
        <f>"0x"&amp;DEC2HEX(HEX2DEC($C$1)+SUM(B$2:$B133))</f>
        <v>0x3FCA22C0</v>
      </c>
    </row>
    <row r="134" spans="1:3" x14ac:dyDescent="0.2">
      <c r="A134" t="s">
        <v>497</v>
      </c>
      <c r="B134">
        <v>8</v>
      </c>
      <c r="C134" s="11" t="str">
        <f>"0x"&amp;DEC2HEX(HEX2DEC($C$1)+SUM(B$2:$B134))</f>
        <v>0x3FCA22C8</v>
      </c>
    </row>
    <row r="135" spans="1:3" x14ac:dyDescent="0.2">
      <c r="A135" t="s">
        <v>498</v>
      </c>
      <c r="B135">
        <v>1</v>
      </c>
      <c r="C135" s="11" t="str">
        <f>"0x"&amp;DEC2HEX(HEX2DEC($C$1)+SUM(B$2:$B135))</f>
        <v>0x3FCA22C9</v>
      </c>
    </row>
    <row r="136" spans="1:3" x14ac:dyDescent="0.2">
      <c r="A136" t="s">
        <v>268</v>
      </c>
      <c r="B136">
        <v>3</v>
      </c>
      <c r="C136" s="11" t="str">
        <f>"0x"&amp;DEC2HEX(HEX2DEC($C$1)+SUM(B$2:$B136))</f>
        <v>0x3FCA22CC</v>
      </c>
    </row>
    <row r="137" spans="1:3" x14ac:dyDescent="0.2">
      <c r="A137" t="s">
        <v>499</v>
      </c>
      <c r="B137">
        <v>16</v>
      </c>
      <c r="C137" s="11" t="str">
        <f>"0x"&amp;DEC2HEX(HEX2DEC($C$1)+SUM(B$2:$B137))</f>
        <v>0x3FCA22DC</v>
      </c>
    </row>
    <row r="138" spans="1:3" x14ac:dyDescent="0.2">
      <c r="A138" t="s">
        <v>500</v>
      </c>
      <c r="B138">
        <v>1</v>
      </c>
      <c r="C138" s="11" t="str">
        <f>"0x"&amp;DEC2HEX(HEX2DEC($C$1)+SUM(B$2:$B138))</f>
        <v>0x3FCA22DD</v>
      </c>
    </row>
    <row r="139" spans="1:3" x14ac:dyDescent="0.2">
      <c r="A139" t="s">
        <v>268</v>
      </c>
      <c r="B139">
        <v>3</v>
      </c>
      <c r="C139" s="11" t="str">
        <f>"0x"&amp;DEC2HEX(HEX2DEC($C$1)+SUM(B$2:$B139))</f>
        <v>0x3FCA22E0</v>
      </c>
    </row>
    <row r="140" spans="1:3" x14ac:dyDescent="0.2">
      <c r="A140" t="s">
        <v>501</v>
      </c>
      <c r="B140">
        <v>284</v>
      </c>
      <c r="C140" s="11" t="str">
        <f>"0x"&amp;DEC2HEX(HEX2DEC($C$1)+SUM(B$2:$B140))</f>
        <v>0x3FCA23FC</v>
      </c>
    </row>
    <row r="141" spans="1:3" x14ac:dyDescent="0.2">
      <c r="A141" t="s">
        <v>502</v>
      </c>
      <c r="B141">
        <v>2</v>
      </c>
      <c r="C141" s="11" t="str">
        <f>"0x"&amp;DEC2HEX(HEX2DEC($C$1)+SUM(B$2:$B141))</f>
        <v>0x3FCA23FE</v>
      </c>
    </row>
    <row r="142" spans="1:3" x14ac:dyDescent="0.2">
      <c r="A142" t="s">
        <v>268</v>
      </c>
      <c r="B142">
        <v>2</v>
      </c>
      <c r="C142" s="11" t="str">
        <f>"0x"&amp;DEC2HEX(HEX2DEC($C$1)+SUM(B$2:$B142))</f>
        <v>0x3FCA2400</v>
      </c>
    </row>
    <row r="143" spans="1:3" x14ac:dyDescent="0.2">
      <c r="A143" t="s">
        <v>503</v>
      </c>
      <c r="B143">
        <v>4</v>
      </c>
      <c r="C143" s="11" t="str">
        <f>"0x"&amp;DEC2HEX(HEX2DEC($C$1)+SUM(B$2:$B143))</f>
        <v>0x3FCA2404</v>
      </c>
    </row>
    <row r="144" spans="1:3" x14ac:dyDescent="0.2">
      <c r="A144" t="s">
        <v>504</v>
      </c>
      <c r="B144">
        <v>2</v>
      </c>
      <c r="C144" s="11" t="str">
        <f>"0x"&amp;DEC2HEX(HEX2DEC($C$1)+SUM(B$2:$B144))</f>
        <v>0x3FCA2406</v>
      </c>
    </row>
    <row r="145" spans="1:3" x14ac:dyDescent="0.2">
      <c r="A145" t="s">
        <v>505</v>
      </c>
      <c r="B145">
        <v>1</v>
      </c>
      <c r="C145" s="11" t="str">
        <f>"0x"&amp;DEC2HEX(HEX2DEC($C$1)+SUM(B$2:$B145))</f>
        <v>0x3FCA2407</v>
      </c>
    </row>
    <row r="146" spans="1:3" x14ac:dyDescent="0.2">
      <c r="A146" t="s">
        <v>506</v>
      </c>
      <c r="B146">
        <v>1</v>
      </c>
      <c r="C146" s="11" t="str">
        <f>"0x"&amp;DEC2HEX(HEX2DEC($C$1)+SUM(B$2:$B146))</f>
        <v>0x3FCA2408</v>
      </c>
    </row>
    <row r="147" spans="1:3" x14ac:dyDescent="0.2">
      <c r="A147" t="s">
        <v>507</v>
      </c>
      <c r="B147">
        <v>8</v>
      </c>
      <c r="C147" s="11" t="str">
        <f>"0x"&amp;DEC2HEX(HEX2DEC($C$1)+SUM(B$2:$B147))</f>
        <v>0x3FCA2410</v>
      </c>
    </row>
    <row r="148" spans="1:3" x14ac:dyDescent="0.2">
      <c r="A148" t="s">
        <v>508</v>
      </c>
      <c r="B148">
        <v>4</v>
      </c>
      <c r="C148" s="11" t="str">
        <f>"0x"&amp;DEC2HEX(HEX2DEC($C$1)+SUM(B$2:$B148))</f>
        <v>0x3FCA2414</v>
      </c>
    </row>
    <row r="149" spans="1:3" x14ac:dyDescent="0.2">
      <c r="A149" t="s">
        <v>509</v>
      </c>
      <c r="B149">
        <v>20</v>
      </c>
      <c r="C149" s="11" t="str">
        <f>"0x"&amp;DEC2HEX(HEX2DEC($C$1)+SUM(B$2:$B149))</f>
        <v>0x3FCA2428</v>
      </c>
    </row>
    <row r="150" spans="1:3" x14ac:dyDescent="0.2">
      <c r="A150" t="s">
        <v>510</v>
      </c>
      <c r="B150">
        <v>80</v>
      </c>
      <c r="C150" s="11" t="str">
        <f>"0x"&amp;DEC2HEX(HEX2DEC($C$1)+SUM(B$2:$B150))</f>
        <v>0x3FCA2478</v>
      </c>
    </row>
    <row r="151" spans="1:3" x14ac:dyDescent="0.2">
      <c r="A151" t="s">
        <v>511</v>
      </c>
      <c r="B151">
        <v>80</v>
      </c>
      <c r="C151" s="11" t="str">
        <f>"0x"&amp;DEC2HEX(HEX2DEC($C$1)+SUM(B$2:$B151))</f>
        <v>0x3FCA24C8</v>
      </c>
    </row>
    <row r="152" spans="1:3" x14ac:dyDescent="0.2">
      <c r="A152" t="s">
        <v>512</v>
      </c>
      <c r="B152">
        <v>552</v>
      </c>
      <c r="C152" s="11" t="str">
        <f>"0x"&amp;DEC2HEX(HEX2DEC($C$1)+SUM(B$2:$B152))</f>
        <v>0x3FCA26F0</v>
      </c>
    </row>
    <row r="153" spans="1:3" x14ac:dyDescent="0.2">
      <c r="A153" t="s">
        <v>513</v>
      </c>
      <c r="B153">
        <v>1</v>
      </c>
      <c r="C153" s="11" t="str">
        <f>"0x"&amp;DEC2HEX(HEX2DEC($C$1)+SUM(B$2:$B153))</f>
        <v>0x3FCA26F1</v>
      </c>
    </row>
    <row r="154" spans="1:3" x14ac:dyDescent="0.2">
      <c r="A154" t="s">
        <v>268</v>
      </c>
      <c r="B154">
        <v>3</v>
      </c>
      <c r="C154" s="11" t="str">
        <f>"0x"&amp;DEC2HEX(HEX2DEC($C$1)+SUM(B$2:$B154))</f>
        <v>0x3FCA26F4</v>
      </c>
    </row>
    <row r="155" spans="1:3" x14ac:dyDescent="0.2">
      <c r="A155" t="s">
        <v>514</v>
      </c>
      <c r="B155">
        <v>20</v>
      </c>
      <c r="C155" s="11" t="str">
        <f>"0x"&amp;DEC2HEX(HEX2DEC($C$1)+SUM(B$2:$B155))</f>
        <v>0x3FCA2708</v>
      </c>
    </row>
    <row r="156" spans="1:3" x14ac:dyDescent="0.2">
      <c r="A156" t="s">
        <v>515</v>
      </c>
      <c r="B156">
        <v>1</v>
      </c>
      <c r="C156" s="11" t="str">
        <f>"0x"&amp;DEC2HEX(HEX2DEC($C$1)+SUM(B$2:$B156))</f>
        <v>0x3FCA2709</v>
      </c>
    </row>
    <row r="157" spans="1:3" x14ac:dyDescent="0.2">
      <c r="A157" t="s">
        <v>516</v>
      </c>
      <c r="B157">
        <v>1</v>
      </c>
      <c r="C157" s="11" t="str">
        <f>"0x"&amp;DEC2HEX(HEX2DEC($C$1)+SUM(B$2:$B157))</f>
        <v>0x3FCA270A</v>
      </c>
    </row>
    <row r="158" spans="1:3" x14ac:dyDescent="0.2">
      <c r="A158" t="s">
        <v>268</v>
      </c>
      <c r="B158">
        <v>6</v>
      </c>
      <c r="C158" s="11" t="str">
        <f>"0x"&amp;DEC2HEX(HEX2DEC($C$1)+SUM(B$2:$B158))</f>
        <v>0x3FCA2710</v>
      </c>
    </row>
    <row r="159" spans="1:3" x14ac:dyDescent="0.2">
      <c r="A159" t="s">
        <v>517</v>
      </c>
      <c r="B159">
        <v>3832</v>
      </c>
      <c r="C159" s="11" t="str">
        <f>"0x"&amp;DEC2HEX(HEX2DEC($C$1)+SUM(B$2:$B159))</f>
        <v>0x3FCA3608</v>
      </c>
    </row>
    <row r="160" spans="1:3" x14ac:dyDescent="0.2">
      <c r="A160" t="s">
        <v>518</v>
      </c>
      <c r="B160">
        <v>4</v>
      </c>
      <c r="C160" s="11" t="str">
        <f>"0x"&amp;DEC2HEX(HEX2DEC($C$1)+SUM(B$2:$B160))</f>
        <v>0x3FCA360C</v>
      </c>
    </row>
    <row r="161" spans="1:3" x14ac:dyDescent="0.2">
      <c r="A161" t="s">
        <v>519</v>
      </c>
      <c r="B161">
        <v>1</v>
      </c>
      <c r="C161" s="11" t="str">
        <f>"0x"&amp;DEC2HEX(HEX2DEC($C$1)+SUM(B$2:$B161))</f>
        <v>0x3FCA360D</v>
      </c>
    </row>
    <row r="162" spans="1:3" x14ac:dyDescent="0.2">
      <c r="A162" t="s">
        <v>520</v>
      </c>
      <c r="B162">
        <v>1</v>
      </c>
      <c r="C162" s="11" t="str">
        <f>"0x"&amp;DEC2HEX(HEX2DEC($C$1)+SUM(B$2:$B162))</f>
        <v>0x3FCA360E</v>
      </c>
    </row>
    <row r="163" spans="1:3" x14ac:dyDescent="0.2">
      <c r="A163" t="s">
        <v>521</v>
      </c>
      <c r="B163">
        <v>1</v>
      </c>
      <c r="C163" s="11" t="str">
        <f>"0x"&amp;DEC2HEX(HEX2DEC($C$1)+SUM(B$2:$B163))</f>
        <v>0x3FCA360F</v>
      </c>
    </row>
    <row r="164" spans="1:3" x14ac:dyDescent="0.2">
      <c r="A164" t="s">
        <v>522</v>
      </c>
      <c r="B164">
        <v>1</v>
      </c>
      <c r="C164" s="11" t="str">
        <f>"0x"&amp;DEC2HEX(HEX2DEC($C$1)+SUM(B$2:$B164))</f>
        <v>0x3FCA3610</v>
      </c>
    </row>
    <row r="165" spans="1:3" x14ac:dyDescent="0.2">
      <c r="A165" t="s">
        <v>523</v>
      </c>
      <c r="B165">
        <v>4</v>
      </c>
      <c r="C165" s="11" t="str">
        <f>"0x"&amp;DEC2HEX(HEX2DEC($C$1)+SUM(B$2:$B165))</f>
        <v>0x3FCA3614</v>
      </c>
    </row>
    <row r="166" spans="1:3" x14ac:dyDescent="0.2">
      <c r="A166" t="s">
        <v>524</v>
      </c>
      <c r="B166">
        <v>2</v>
      </c>
      <c r="C166" s="11" t="str">
        <f>"0x"&amp;DEC2HEX(HEX2DEC($C$1)+SUM(B$2:$B166))</f>
        <v>0x3FCA3616</v>
      </c>
    </row>
    <row r="167" spans="1:3" x14ac:dyDescent="0.2">
      <c r="A167" t="s">
        <v>268</v>
      </c>
      <c r="B167">
        <v>2</v>
      </c>
      <c r="C167" s="11" t="str">
        <f>"0x"&amp;DEC2HEX(HEX2DEC($C$1)+SUM(B$2:$B167))</f>
        <v>0x3FCA3618</v>
      </c>
    </row>
    <row r="168" spans="1:3" x14ac:dyDescent="0.2">
      <c r="A168" t="s">
        <v>525</v>
      </c>
      <c r="B168">
        <v>20</v>
      </c>
      <c r="C168" s="11" t="str">
        <f>"0x"&amp;DEC2HEX(HEX2DEC($C$1)+SUM(B$2:$B168))</f>
        <v>0x3FCA362C</v>
      </c>
    </row>
    <row r="169" spans="1:3" x14ac:dyDescent="0.2">
      <c r="A169" t="s">
        <v>526</v>
      </c>
      <c r="B169">
        <v>8</v>
      </c>
      <c r="C169" s="11" t="str">
        <f>"0x"&amp;DEC2HEX(HEX2DEC($C$1)+SUM(B$2:$B169))</f>
        <v>0x3FCA3634</v>
      </c>
    </row>
    <row r="170" spans="1:3" x14ac:dyDescent="0.2">
      <c r="C170" s="11" t="str">
        <f>"0x"&amp;DEC2HEX(HEX2DEC($C$1)+SUM(B$2:$B170))</f>
        <v>0x3FCA3634</v>
      </c>
    </row>
    <row r="171" spans="1:3" x14ac:dyDescent="0.2">
      <c r="A171" t="s">
        <v>527</v>
      </c>
      <c r="B171">
        <v>40</v>
      </c>
      <c r="C171" s="11" t="str">
        <f>"0x"&amp;DEC2HEX(HEX2DEC($C$1)+SUM(B$2:$B171))</f>
        <v>0x3FCA365C</v>
      </c>
    </row>
    <row r="172" spans="1:3" x14ac:dyDescent="0.2">
      <c r="A172" t="s">
        <v>528</v>
      </c>
      <c r="B172">
        <v>42</v>
      </c>
      <c r="C172" s="11" t="str">
        <f>"0x"&amp;DEC2HEX(HEX2DEC($C$1)+SUM(B$2:$B172))</f>
        <v>0x3FCA3686</v>
      </c>
    </row>
    <row r="173" spans="1:3" x14ac:dyDescent="0.2">
      <c r="A173" t="s">
        <v>268</v>
      </c>
      <c r="B173">
        <v>2</v>
      </c>
      <c r="C173" s="11" t="str">
        <f>"0x"&amp;DEC2HEX(HEX2DEC($C$1)+SUM(B$2:$B173))</f>
        <v>0x3FCA3688</v>
      </c>
    </row>
    <row r="174" spans="1:3" x14ac:dyDescent="0.2">
      <c r="A174" t="s">
        <v>529</v>
      </c>
      <c r="B174">
        <v>4</v>
      </c>
      <c r="C174" s="11" t="str">
        <f>"0x"&amp;DEC2HEX(HEX2DEC($C$1)+SUM(B$2:$B174))</f>
        <v>0x3FCA368C</v>
      </c>
    </row>
    <row r="175" spans="1:3" x14ac:dyDescent="0.2">
      <c r="A175" t="s">
        <v>530</v>
      </c>
      <c r="B175">
        <v>1</v>
      </c>
      <c r="C175" s="11" t="str">
        <f>"0x"&amp;DEC2HEX(HEX2DEC($C$1)+SUM(B$2:$B175))</f>
        <v>0x3FCA368D</v>
      </c>
    </row>
    <row r="176" spans="1:3" x14ac:dyDescent="0.2">
      <c r="A176" t="s">
        <v>268</v>
      </c>
      <c r="B176">
        <v>3</v>
      </c>
      <c r="C176" s="11" t="str">
        <f>"0x"&amp;DEC2HEX(HEX2DEC($C$1)+SUM(B$2:$B176))</f>
        <v>0x3FCA3690</v>
      </c>
    </row>
    <row r="177" spans="1:3" x14ac:dyDescent="0.2">
      <c r="A177" t="s">
        <v>531</v>
      </c>
      <c r="B177">
        <v>4</v>
      </c>
      <c r="C177" s="11" t="str">
        <f>"0x"&amp;DEC2HEX(HEX2DEC($C$1)+SUM(B$2:$B177))</f>
        <v>0x3FCA3694</v>
      </c>
    </row>
    <row r="178" spans="1:3" x14ac:dyDescent="0.2">
      <c r="C178" s="11" t="str">
        <f>"0x"&amp;DEC2HEX(HEX2DEC($C$1)+SUM(B$2:$B178))</f>
        <v>0x3FCA3694</v>
      </c>
    </row>
    <row r="179" spans="1:3" x14ac:dyDescent="0.2">
      <c r="A179" t="s">
        <v>532</v>
      </c>
      <c r="B179">
        <v>192</v>
      </c>
      <c r="C179" s="11" t="str">
        <f>"0x"&amp;DEC2HEX(HEX2DEC($C$1)+SUM(B$2:$B179))</f>
        <v>0x3FCA3754</v>
      </c>
    </row>
    <row r="180" spans="1:3" x14ac:dyDescent="0.2">
      <c r="A180" t="s">
        <v>533</v>
      </c>
      <c r="B180">
        <v>40</v>
      </c>
      <c r="C180" s="11" t="str">
        <f>"0x"&amp;DEC2HEX(HEX2DEC($C$1)+SUM(B$2:$B180))</f>
        <v>0x3FCA377C</v>
      </c>
    </row>
    <row r="181" spans="1:3" x14ac:dyDescent="0.2">
      <c r="A181" t="s">
        <v>534</v>
      </c>
      <c r="B181">
        <v>1</v>
      </c>
      <c r="C181" s="11" t="str">
        <f>"0x"&amp;DEC2HEX(HEX2DEC($C$1)+SUM(B$2:$B181))</f>
        <v>0x3FCA377D</v>
      </c>
    </row>
    <row r="182" spans="1:3" x14ac:dyDescent="0.2">
      <c r="A182" t="s">
        <v>268</v>
      </c>
      <c r="B182">
        <v>3</v>
      </c>
      <c r="C182" s="11" t="str">
        <f>"0x"&amp;DEC2HEX(HEX2DEC($C$1)+SUM(B$2:$B182))</f>
        <v>0x3FCA3780</v>
      </c>
    </row>
    <row r="183" spans="1:3" x14ac:dyDescent="0.2">
      <c r="A183" t="s">
        <v>535</v>
      </c>
      <c r="B183">
        <v>20</v>
      </c>
      <c r="C183" s="11" t="str">
        <f>"0x"&amp;DEC2HEX(HEX2DEC($C$1)+SUM(B$2:$B183))</f>
        <v>0x3FCA3794</v>
      </c>
    </row>
    <row r="184" spans="1:3" x14ac:dyDescent="0.2">
      <c r="A184" t="s">
        <v>268</v>
      </c>
      <c r="B184">
        <v>4</v>
      </c>
      <c r="C184" s="11" t="str">
        <f>"0x"&amp;DEC2HEX(HEX2DEC($C$1)+SUM(B$2:$B184))</f>
        <v>0x3FCA3798</v>
      </c>
    </row>
    <row r="185" spans="1:3" x14ac:dyDescent="0.2">
      <c r="A185" t="s">
        <v>536</v>
      </c>
      <c r="B185">
        <v>8</v>
      </c>
      <c r="C185" s="11" t="str">
        <f>"0x"&amp;DEC2HEX(HEX2DEC($C$1)+SUM(B$2:$B185))</f>
        <v>0x3FCA37A0</v>
      </c>
    </row>
    <row r="186" spans="1:3" x14ac:dyDescent="0.2">
      <c r="A186" t="s">
        <v>537</v>
      </c>
      <c r="B186">
        <v>464</v>
      </c>
      <c r="C186" s="11" t="str">
        <f>"0x"&amp;DEC2HEX(HEX2DEC($C$1)+SUM(B$2:$B186))</f>
        <v>0x3FCA3970</v>
      </c>
    </row>
    <row r="187" spans="1:3" x14ac:dyDescent="0.2">
      <c r="A187" t="s">
        <v>538</v>
      </c>
      <c r="B187">
        <v>4</v>
      </c>
      <c r="C187" s="11" t="str">
        <f>"0x"&amp;DEC2HEX(HEX2DEC($C$1)+SUM(B$2:$B187))</f>
        <v>0x3FCA3974</v>
      </c>
    </row>
    <row r="188" spans="1:3" x14ac:dyDescent="0.2">
      <c r="A188" t="s">
        <v>268</v>
      </c>
      <c r="B188">
        <v>4</v>
      </c>
      <c r="C188" s="11" t="str">
        <f>"0x"&amp;DEC2HEX(HEX2DEC($C$1)+SUM(B$2:$B188))</f>
        <v>0x3FCA3978</v>
      </c>
    </row>
    <row r="189" spans="1:3" x14ac:dyDescent="0.2">
      <c r="A189" t="s">
        <v>539</v>
      </c>
      <c r="B189">
        <v>16</v>
      </c>
      <c r="C189" s="11" t="str">
        <f>"0x"&amp;DEC2HEX(HEX2DEC($C$1)+SUM(B$2:$B189))</f>
        <v>0x3FCA3988</v>
      </c>
    </row>
    <row r="190" spans="1:3" x14ac:dyDescent="0.2">
      <c r="A190" t="s">
        <v>540</v>
      </c>
      <c r="B190">
        <v>192</v>
      </c>
      <c r="C190" s="11" t="str">
        <f>"0x"&amp;DEC2HEX(HEX2DEC($C$1)+SUM(B$2:$B190))</f>
        <v>0x3FCA3A48</v>
      </c>
    </row>
    <row r="191" spans="1:3" x14ac:dyDescent="0.2">
      <c r="A191" t="s">
        <v>541</v>
      </c>
      <c r="B191">
        <v>72</v>
      </c>
      <c r="C191" s="11" t="str">
        <f>"0x"&amp;DEC2HEX(HEX2DEC($C$1)+SUM(B$2:$B191))</f>
        <v>0x3FCA3A90</v>
      </c>
    </row>
    <row r="192" spans="1:3" x14ac:dyDescent="0.2">
      <c r="A192" t="s">
        <v>542</v>
      </c>
      <c r="B192">
        <v>4</v>
      </c>
      <c r="C192" s="11" t="str">
        <f>"0x"&amp;DEC2HEX(HEX2DEC($C$1)+SUM(B$2:$B192))</f>
        <v>0x3FCA3A94</v>
      </c>
    </row>
    <row r="193" spans="1:3" x14ac:dyDescent="0.2">
      <c r="A193" t="s">
        <v>543</v>
      </c>
      <c r="B193">
        <v>8</v>
      </c>
      <c r="C193" s="11" t="str">
        <f>"0x"&amp;DEC2HEX(HEX2DEC($C$1)+SUM(B$2:$B193))</f>
        <v>0x3FCA3A9C</v>
      </c>
    </row>
    <row r="194" spans="1:3" x14ac:dyDescent="0.2">
      <c r="A194" t="s">
        <v>544</v>
      </c>
      <c r="B194">
        <v>4</v>
      </c>
      <c r="C194" s="11" t="str">
        <f>"0x"&amp;DEC2HEX(HEX2DEC($C$1)+SUM(B$2:$B194))</f>
        <v>0x3FCA3AA0</v>
      </c>
    </row>
    <row r="195" spans="1:3" x14ac:dyDescent="0.2">
      <c r="A195" t="s">
        <v>545</v>
      </c>
      <c r="B195">
        <v>4</v>
      </c>
      <c r="C195" s="11" t="str">
        <f>"0x"&amp;DEC2HEX(HEX2DEC($C$1)+SUM(B$2:$B195))</f>
        <v>0x3FCA3AA4</v>
      </c>
    </row>
    <row r="196" spans="1:3" x14ac:dyDescent="0.2">
      <c r="A196" t="s">
        <v>546</v>
      </c>
      <c r="B196">
        <v>4</v>
      </c>
      <c r="C196" s="11" t="str">
        <f>"0x"&amp;DEC2HEX(HEX2DEC($C$1)+SUM(B$2:$B196))</f>
        <v>0x3FCA3AA8</v>
      </c>
    </row>
    <row r="197" spans="1:3" x14ac:dyDescent="0.2">
      <c r="A197" t="s">
        <v>547</v>
      </c>
      <c r="B197">
        <v>4</v>
      </c>
      <c r="C197" s="11" t="str">
        <f>"0x"&amp;DEC2HEX(HEX2DEC($C$1)+SUM(B$2:$B197))</f>
        <v>0x3FCA3AAC</v>
      </c>
    </row>
    <row r="198" spans="1:3" x14ac:dyDescent="0.2">
      <c r="A198" t="s">
        <v>548</v>
      </c>
      <c r="B198">
        <v>4</v>
      </c>
      <c r="C198" s="11" t="str">
        <f>"0x"&amp;DEC2HEX(HEX2DEC($C$1)+SUM(B$2:$B198))</f>
        <v>0x3FCA3AB0</v>
      </c>
    </row>
    <row r="199" spans="1:3" x14ac:dyDescent="0.2">
      <c r="A199" t="s">
        <v>549</v>
      </c>
      <c r="B199">
        <v>4</v>
      </c>
      <c r="C199" s="11" t="str">
        <f>"0x"&amp;DEC2HEX(HEX2DEC($C$1)+SUM(B$2:$B199))</f>
        <v>0x3FCA3AB4</v>
      </c>
    </row>
    <row r="200" spans="1:3" x14ac:dyDescent="0.2">
      <c r="A200" t="s">
        <v>550</v>
      </c>
      <c r="B200">
        <v>4</v>
      </c>
      <c r="C200" s="11" t="str">
        <f>"0x"&amp;DEC2HEX(HEX2DEC($C$1)+SUM(B$2:$B200))</f>
        <v>0x3FCA3AB8</v>
      </c>
    </row>
    <row r="201" spans="1:3" x14ac:dyDescent="0.2">
      <c r="A201" t="s">
        <v>551</v>
      </c>
      <c r="B201">
        <v>116</v>
      </c>
      <c r="C201" s="11" t="str">
        <f>"0x"&amp;DEC2HEX(HEX2DEC($C$1)+SUM(B$2:$B201))</f>
        <v>0x3FCA3B2C</v>
      </c>
    </row>
    <row r="202" spans="1:3" x14ac:dyDescent="0.2">
      <c r="A202" t="s">
        <v>268</v>
      </c>
      <c r="B202">
        <v>4</v>
      </c>
      <c r="C202" s="11" t="str">
        <f>"0x"&amp;DEC2HEX(HEX2DEC($C$1)+SUM(B$2:$B202))</f>
        <v>0x3FCA3B30</v>
      </c>
    </row>
    <row r="203" spans="1:3" x14ac:dyDescent="0.2">
      <c r="A203" t="s">
        <v>552</v>
      </c>
      <c r="B203">
        <v>8</v>
      </c>
      <c r="C203" s="11" t="str">
        <f>"0x"&amp;DEC2HEX(HEX2DEC($C$1)+SUM(B$2:$B203))</f>
        <v>0x3FCA3B38</v>
      </c>
    </row>
    <row r="204" spans="1:3" x14ac:dyDescent="0.2">
      <c r="C204" s="11" t="str">
        <f>"0x"&amp;DEC2HEX(HEX2DEC($C$1)+SUM(B$2:$B204))</f>
        <v>0x3FCA3B38</v>
      </c>
    </row>
    <row r="205" spans="1:3" x14ac:dyDescent="0.2">
      <c r="A205" t="s">
        <v>553</v>
      </c>
      <c r="B205">
        <v>48</v>
      </c>
      <c r="C205" s="11" t="str">
        <f>"0x"&amp;DEC2HEX(HEX2DEC($C$1)+SUM(B$2:$B205))</f>
        <v>0x3FCA3B68</v>
      </c>
    </row>
    <row r="206" spans="1:3" x14ac:dyDescent="0.2">
      <c r="A206" t="s">
        <v>554</v>
      </c>
      <c r="B206">
        <v>812</v>
      </c>
      <c r="C206" s="11" t="str">
        <f>"0x"&amp;DEC2HEX(HEX2DEC($C$1)+SUM(B$2:$B206))</f>
        <v>0x3FCA3E94</v>
      </c>
    </row>
    <row r="207" spans="1:3" x14ac:dyDescent="0.2">
      <c r="A207" t="s">
        <v>555</v>
      </c>
      <c r="B207">
        <v>32</v>
      </c>
      <c r="C207" s="11" t="str">
        <f>"0x"&amp;DEC2HEX(HEX2DEC($C$1)+SUM(B$2:$B207))</f>
        <v>0x3FCA3EB4</v>
      </c>
    </row>
    <row r="208" spans="1:3" x14ac:dyDescent="0.2">
      <c r="A208" t="s">
        <v>556</v>
      </c>
      <c r="B208">
        <v>64</v>
      </c>
      <c r="C208" s="11" t="str">
        <f>"0x"&amp;DEC2HEX(HEX2DEC($C$1)+SUM(B$2:$B208))</f>
        <v>0x3FCA3EF4</v>
      </c>
    </row>
    <row r="209" spans="1:5" x14ac:dyDescent="0.2">
      <c r="A209" t="s">
        <v>268</v>
      </c>
      <c r="B209">
        <v>4</v>
      </c>
      <c r="C209" s="11" t="str">
        <f>"0x"&amp;DEC2HEX(HEX2DEC($C$1)+SUM(B$2:$B209))</f>
        <v>0x3FCA3EF8</v>
      </c>
    </row>
    <row r="210" spans="1:5" x14ac:dyDescent="0.2">
      <c r="A210" t="s">
        <v>557</v>
      </c>
      <c r="B210">
        <v>144</v>
      </c>
      <c r="C210" s="11" t="str">
        <f>"0x"&amp;DEC2HEX(HEX2DEC($C$1)+SUM(B$2:$B210))</f>
        <v>0x3FCA3F88</v>
      </c>
      <c r="D210" s="8">
        <f>SUM(B$2:$B211)</f>
        <v>112552</v>
      </c>
      <c r="E210" s="9" t="str">
        <f>"0x"&amp;DEC2HEX(D210)</f>
        <v>0x1B7A8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5A54-69A5-1C4D-B51F-66C7623A2B6A}">
  <dimension ref="A1:F99"/>
  <sheetViews>
    <sheetView zoomScale="114" workbookViewId="0">
      <selection activeCell="C2" sqref="C2"/>
    </sheetView>
  </sheetViews>
  <sheetFormatPr baseColWidth="10" defaultRowHeight="16" x14ac:dyDescent="0.2"/>
  <cols>
    <col min="1" max="1" width="100" customWidth="1"/>
    <col min="3" max="3" width="17.83203125" style="10" customWidth="1"/>
  </cols>
  <sheetData>
    <row r="1" spans="1:3" x14ac:dyDescent="0.2">
      <c r="C1" s="9" t="s">
        <v>2</v>
      </c>
    </row>
    <row r="2" spans="1:3" x14ac:dyDescent="0.2">
      <c r="A2" t="s">
        <v>559</v>
      </c>
      <c r="B2">
        <v>32</v>
      </c>
      <c r="C2" s="11" t="str">
        <f>"0x"&amp;DEC2HEX(HEX2DEC(C$1)+SUM($B$2:B2))</f>
        <v>0x3C000040</v>
      </c>
    </row>
    <row r="3" spans="1:3" x14ac:dyDescent="0.2">
      <c r="A3" t="s">
        <v>559</v>
      </c>
      <c r="B3">
        <v>28</v>
      </c>
      <c r="C3" s="11" t="str">
        <f>"0x"&amp;DEC2HEX(HEX2DEC(C$1)+SUM($B$2:B3))</f>
        <v>0x3C00005C</v>
      </c>
    </row>
    <row r="4" spans="1:3" x14ac:dyDescent="0.2">
      <c r="A4" t="s">
        <v>558</v>
      </c>
      <c r="B4">
        <v>208</v>
      </c>
      <c r="C4" s="11" t="str">
        <f>"0x"&amp;DEC2HEX(HEX2DEC(C$1)+SUM($B$2:B4))</f>
        <v>0x3C00012C</v>
      </c>
    </row>
    <row r="5" spans="1:3" x14ac:dyDescent="0.2">
      <c r="A5" t="s">
        <v>2507</v>
      </c>
      <c r="B5">
        <v>52</v>
      </c>
      <c r="C5" s="11" t="str">
        <f>"0x"&amp;DEC2HEX(HEX2DEC(C$1)+SUM($B$2:B5))</f>
        <v>0x3C000160</v>
      </c>
    </row>
    <row r="6" spans="1:3" x14ac:dyDescent="0.2">
      <c r="A6" t="s">
        <v>558</v>
      </c>
      <c r="B6">
        <v>304</v>
      </c>
      <c r="C6" s="11" t="str">
        <f>"0x"&amp;DEC2HEX(HEX2DEC(C$1)+SUM($B$2:B6))</f>
        <v>0x3C000290</v>
      </c>
    </row>
    <row r="7" spans="1:3" x14ac:dyDescent="0.2">
      <c r="A7" t="s">
        <v>560</v>
      </c>
      <c r="B7">
        <v>92</v>
      </c>
      <c r="C7" s="11" t="str">
        <f>"0x"&amp;DEC2HEX(HEX2DEC(C$1)+SUM($B$2:B7))</f>
        <v>0x3C0002EC</v>
      </c>
    </row>
    <row r="8" spans="1:3" x14ac:dyDescent="0.2">
      <c r="A8" t="s">
        <v>558</v>
      </c>
      <c r="B8">
        <v>3</v>
      </c>
      <c r="C8" s="11" t="str">
        <f>"0x"&amp;DEC2HEX(HEX2DEC(C$1)+SUM($B$2:B8))</f>
        <v>0x3C0002EF</v>
      </c>
    </row>
    <row r="9" spans="1:3" x14ac:dyDescent="0.2">
      <c r="A9" t="s">
        <v>560</v>
      </c>
      <c r="B9">
        <v>101</v>
      </c>
      <c r="C9" s="11" t="str">
        <f>"0x"&amp;DEC2HEX(HEX2DEC(C$1)+SUM($B$2:B9))</f>
        <v>0x3C000354</v>
      </c>
    </row>
    <row r="10" spans="1:3" x14ac:dyDescent="0.2">
      <c r="A10" t="s">
        <v>558</v>
      </c>
      <c r="B10">
        <v>84</v>
      </c>
      <c r="C10" s="11" t="str">
        <f>"0x"&amp;DEC2HEX(HEX2DEC(C$1)+SUM($B$2:B10))</f>
        <v>0x3C0003A8</v>
      </c>
    </row>
    <row r="11" spans="1:3" x14ac:dyDescent="0.2">
      <c r="A11" t="s">
        <v>560</v>
      </c>
      <c r="B11">
        <v>344</v>
      </c>
      <c r="C11" s="11" t="str">
        <f>"0x"&amp;DEC2HEX(HEX2DEC(C$1)+SUM($B$2:B11))</f>
        <v>0x3C000500</v>
      </c>
    </row>
    <row r="12" spans="1:3" x14ac:dyDescent="0.2">
      <c r="A12" t="s">
        <v>558</v>
      </c>
      <c r="B12">
        <v>76</v>
      </c>
      <c r="C12" s="11" t="str">
        <f>"0x"&amp;DEC2HEX(HEX2DEC(C$1)+SUM($B$2:B12))</f>
        <v>0x3C00054C</v>
      </c>
    </row>
    <row r="13" spans="1:3" x14ac:dyDescent="0.2">
      <c r="A13" t="s">
        <v>560</v>
      </c>
      <c r="B13">
        <v>180</v>
      </c>
      <c r="C13" s="11" t="str">
        <f>"0x"&amp;DEC2HEX(HEX2DEC(C$1)+SUM($B$2:B13))</f>
        <v>0x3C000600</v>
      </c>
    </row>
    <row r="14" spans="1:3" x14ac:dyDescent="0.2">
      <c r="A14" t="s">
        <v>566</v>
      </c>
      <c r="B14">
        <v>20</v>
      </c>
      <c r="C14" s="11" t="str">
        <f>"0x"&amp;DEC2HEX(HEX2DEC(C$1)+SUM($B$2:B14))</f>
        <v>0x3C000614</v>
      </c>
    </row>
    <row r="15" spans="1:3" x14ac:dyDescent="0.2">
      <c r="A15" t="s">
        <v>561</v>
      </c>
      <c r="B15">
        <v>32</v>
      </c>
      <c r="C15" s="11" t="str">
        <f>"0x"&amp;DEC2HEX(HEX2DEC(C$1)+SUM($B$2:B15))</f>
        <v>0x3C000634</v>
      </c>
    </row>
    <row r="16" spans="1:3" x14ac:dyDescent="0.2">
      <c r="A16" t="s">
        <v>562</v>
      </c>
      <c r="B16">
        <v>88</v>
      </c>
      <c r="C16" s="11" t="str">
        <f>"0x"&amp;DEC2HEX(HEX2DEC(C$1)+SUM($B$2:B16))</f>
        <v>0x3C00068C</v>
      </c>
    </row>
    <row r="17" spans="1:3" x14ac:dyDescent="0.2">
      <c r="A17" t="s">
        <v>558</v>
      </c>
      <c r="B17">
        <v>120</v>
      </c>
      <c r="C17" s="11" t="str">
        <f>"0x"&amp;DEC2HEX(HEX2DEC(C$1)+SUM($B$2:B17))</f>
        <v>0x3C000704</v>
      </c>
    </row>
    <row r="18" spans="1:3" x14ac:dyDescent="0.2">
      <c r="A18" t="s">
        <v>563</v>
      </c>
      <c r="B18">
        <v>56</v>
      </c>
      <c r="C18" s="11" t="str">
        <f>"0x"&amp;DEC2HEX(HEX2DEC(C$1)+SUM($B$2:B18))</f>
        <v>0x3C00073C</v>
      </c>
    </row>
    <row r="19" spans="1:3" x14ac:dyDescent="0.2">
      <c r="A19" t="s">
        <v>564</v>
      </c>
      <c r="B19">
        <v>476</v>
      </c>
      <c r="C19" s="11" t="str">
        <f>"0x"&amp;DEC2HEX(HEX2DEC(C$1)+SUM($B$2:B19))</f>
        <v>0x3C000918</v>
      </c>
    </row>
    <row r="20" spans="1:3" x14ac:dyDescent="0.2">
      <c r="A20" t="s">
        <v>565</v>
      </c>
      <c r="B20">
        <v>128</v>
      </c>
      <c r="C20" s="11" t="str">
        <f>"0x"&amp;DEC2HEX(HEX2DEC(C$1)+SUM($B$2:B20))</f>
        <v>0x3C000998</v>
      </c>
    </row>
    <row r="21" spans="1:3" x14ac:dyDescent="0.2">
      <c r="A21" t="s">
        <v>560</v>
      </c>
      <c r="B21">
        <v>296</v>
      </c>
      <c r="C21" s="11" t="str">
        <f>"0x"&amp;DEC2HEX(HEX2DEC(C$1)+SUM($B$2:B21))</f>
        <v>0x3C000AC0</v>
      </c>
    </row>
    <row r="22" spans="1:3" x14ac:dyDescent="0.2">
      <c r="A22" t="s">
        <v>558</v>
      </c>
      <c r="B22">
        <v>100</v>
      </c>
      <c r="C22" s="11" t="str">
        <f>"0x"&amp;DEC2HEX(HEX2DEC(C$1)+SUM($B$2:B22))</f>
        <v>0x3C000B24</v>
      </c>
    </row>
    <row r="23" spans="1:3" x14ac:dyDescent="0.2">
      <c r="A23" t="s">
        <v>567</v>
      </c>
      <c r="B23">
        <v>16</v>
      </c>
      <c r="C23" s="11" t="str">
        <f>"0x"&amp;DEC2HEX(HEX2DEC(C$1)+SUM($B$2:B23))</f>
        <v>0x3C000B34</v>
      </c>
    </row>
    <row r="24" spans="1:3" x14ac:dyDescent="0.2">
      <c r="A24" t="s">
        <v>558</v>
      </c>
      <c r="B24">
        <v>72</v>
      </c>
      <c r="C24" s="11" t="str">
        <f>"0x"&amp;DEC2HEX(HEX2DEC(C$1)+SUM($B$2:B24))</f>
        <v>0x3C000B7C</v>
      </c>
    </row>
    <row r="25" spans="1:3" x14ac:dyDescent="0.2">
      <c r="A25" t="s">
        <v>2416</v>
      </c>
      <c r="B25">
        <v>276</v>
      </c>
      <c r="C25" s="11" t="str">
        <f>"0x"&amp;DEC2HEX(HEX2DEC(C$1)+SUM($B$2:B25))</f>
        <v>0x3C000C90</v>
      </c>
    </row>
    <row r="26" spans="1:3" x14ac:dyDescent="0.2">
      <c r="A26" t="s">
        <v>2417</v>
      </c>
      <c r="B26">
        <v>36</v>
      </c>
      <c r="C26" s="11" t="str">
        <f>"0x"&amp;DEC2HEX(HEX2DEC(C$1)+SUM($B$2:B26))</f>
        <v>0x3C000CB4</v>
      </c>
    </row>
    <row r="27" spans="1:3" x14ac:dyDescent="0.2">
      <c r="A27" t="s">
        <v>558</v>
      </c>
      <c r="B27">
        <v>124</v>
      </c>
      <c r="C27" s="11" t="str">
        <f>"0x"&amp;DEC2HEX(HEX2DEC(C$1)+SUM($B$2:B27))</f>
        <v>0x3C000D30</v>
      </c>
    </row>
    <row r="28" spans="1:3" x14ac:dyDescent="0.2">
      <c r="A28" t="s">
        <v>560</v>
      </c>
      <c r="B28">
        <v>228</v>
      </c>
      <c r="C28" s="11" t="str">
        <f>"0x"&amp;DEC2HEX(HEX2DEC(C$1)+SUM($B$2:B28))</f>
        <v>0x3C000E14</v>
      </c>
    </row>
    <row r="29" spans="1:3" x14ac:dyDescent="0.2">
      <c r="A29" t="s">
        <v>558</v>
      </c>
      <c r="B29" s="4">
        <v>160</v>
      </c>
      <c r="C29" s="11" t="str">
        <f>"0x"&amp;DEC2HEX(HEX2DEC(C$1)+SUM($B$2:B29))</f>
        <v>0x3C000EB4</v>
      </c>
    </row>
    <row r="30" spans="1:3" x14ac:dyDescent="0.2">
      <c r="A30" t="s">
        <v>2418</v>
      </c>
      <c r="B30">
        <v>488</v>
      </c>
      <c r="C30" s="11" t="str">
        <f>"0x"&amp;DEC2HEX(HEX2DEC(C$1)+SUM($B$2:B30))</f>
        <v>0x3C00109C</v>
      </c>
    </row>
    <row r="31" spans="1:3" x14ac:dyDescent="0.2">
      <c r="A31" t="s">
        <v>558</v>
      </c>
      <c r="B31">
        <v>172</v>
      </c>
      <c r="C31" s="11" t="str">
        <f>"0x"&amp;DEC2HEX(HEX2DEC(C$1)+SUM($B$2:B31))</f>
        <v>0x3C001148</v>
      </c>
    </row>
    <row r="32" spans="1:3" x14ac:dyDescent="0.2">
      <c r="A32" t="s">
        <v>2419</v>
      </c>
      <c r="B32">
        <v>244</v>
      </c>
      <c r="C32" s="11" t="str">
        <f>"0x"&amp;DEC2HEX(HEX2DEC(C$1)+SUM($B$2:B32))</f>
        <v>0x3C00123C</v>
      </c>
    </row>
    <row r="33" spans="1:3" x14ac:dyDescent="0.2">
      <c r="A33" t="s">
        <v>2420</v>
      </c>
      <c r="B33">
        <v>52</v>
      </c>
      <c r="C33" s="11" t="str">
        <f>"0x"&amp;DEC2HEX(HEX2DEC(C$1)+SUM($B$2:B33))</f>
        <v>0x3C001270</v>
      </c>
    </row>
    <row r="34" spans="1:3" x14ac:dyDescent="0.2">
      <c r="A34" t="s">
        <v>558</v>
      </c>
      <c r="B34">
        <v>100</v>
      </c>
      <c r="C34" s="11" t="str">
        <f>"0x"&amp;DEC2HEX(HEX2DEC(C$1)+SUM($B$2:B34))</f>
        <v>0x3C0012D4</v>
      </c>
    </row>
    <row r="35" spans="1:3" x14ac:dyDescent="0.2">
      <c r="A35" t="s">
        <v>560</v>
      </c>
      <c r="B35">
        <v>304</v>
      </c>
      <c r="C35" s="11" t="str">
        <f>"0x"&amp;DEC2HEX(HEX2DEC(C$1)+SUM($B$2:B35))</f>
        <v>0x3C001404</v>
      </c>
    </row>
    <row r="36" spans="1:3" x14ac:dyDescent="0.2">
      <c r="A36" t="s">
        <v>2508</v>
      </c>
      <c r="B36">
        <v>28</v>
      </c>
      <c r="C36" s="11" t="str">
        <f>"0x"&amp;DEC2HEX(HEX2DEC(C$1)+SUM($B$2:B36))</f>
        <v>0x3C001420</v>
      </c>
    </row>
    <row r="37" spans="1:3" x14ac:dyDescent="0.2">
      <c r="A37" t="s">
        <v>2509</v>
      </c>
      <c r="B37">
        <v>28</v>
      </c>
      <c r="C37" s="11" t="str">
        <f>"0x"&amp;DEC2HEX(HEX2DEC(C$1)+SUM($B$2:B37))</f>
        <v>0x3C00143C</v>
      </c>
    </row>
    <row r="38" spans="1:3" x14ac:dyDescent="0.2">
      <c r="A38" t="s">
        <v>2510</v>
      </c>
      <c r="B38">
        <v>28</v>
      </c>
      <c r="C38" s="11" t="str">
        <f>"0x"&amp;DEC2HEX(HEX2DEC(C$1)+SUM($B$2:B38))</f>
        <v>0x3C001458</v>
      </c>
    </row>
    <row r="39" spans="1:3" x14ac:dyDescent="0.2">
      <c r="A39" t="s">
        <v>2510</v>
      </c>
      <c r="B39">
        <v>28</v>
      </c>
      <c r="C39" s="11" t="str">
        <f>"0x"&amp;DEC2HEX(HEX2DEC(C$1)+SUM($B$2:B39))</f>
        <v>0x3C001474</v>
      </c>
    </row>
    <row r="40" spans="1:3" x14ac:dyDescent="0.2">
      <c r="A40" t="s">
        <v>568</v>
      </c>
      <c r="B40">
        <v>23</v>
      </c>
      <c r="C40" s="11" t="str">
        <f>"0x"&amp;DEC2HEX(HEX2DEC(C$1)+SUM($B$2:B40))</f>
        <v>0x3C00148B</v>
      </c>
    </row>
    <row r="41" spans="1:3" x14ac:dyDescent="0.2">
      <c r="A41" t="s">
        <v>560</v>
      </c>
      <c r="B41">
        <v>5</v>
      </c>
      <c r="C41" s="11" t="str">
        <f>"0x"&amp;DEC2HEX(HEX2DEC(C$1)+SUM($B$2:B41))</f>
        <v>0x3C001490</v>
      </c>
    </row>
    <row r="42" spans="1:3" x14ac:dyDescent="0.2">
      <c r="A42" t="s">
        <v>2511</v>
      </c>
      <c r="B42">
        <v>12</v>
      </c>
      <c r="C42" s="11" t="str">
        <f>"0x"&amp;DEC2HEX(HEX2DEC(C$1)+SUM($B$2:B42))</f>
        <v>0x3C00149C</v>
      </c>
    </row>
    <row r="43" spans="1:3" x14ac:dyDescent="0.2">
      <c r="A43" t="s">
        <v>560</v>
      </c>
      <c r="B43">
        <v>60</v>
      </c>
      <c r="C43" s="11" t="str">
        <f>"0x"&amp;DEC2HEX(HEX2DEC(C$1)+SUM($B$2:B43))</f>
        <v>0x3C0014D8</v>
      </c>
    </row>
    <row r="44" spans="1:3" x14ac:dyDescent="0.2">
      <c r="A44" t="s">
        <v>2512</v>
      </c>
      <c r="B44">
        <v>88</v>
      </c>
      <c r="C44" s="11" t="str">
        <f>"0x"&amp;DEC2HEX(HEX2DEC(C$1)+SUM($B$2:B44))</f>
        <v>0x3C001530</v>
      </c>
    </row>
    <row r="45" spans="1:3" x14ac:dyDescent="0.2">
      <c r="A45" t="s">
        <v>2513</v>
      </c>
      <c r="B45">
        <v>88</v>
      </c>
      <c r="C45" s="11" t="str">
        <f>"0x"&amp;DEC2HEX(HEX2DEC(C$1)+SUM($B$2:B45))</f>
        <v>0x3C001588</v>
      </c>
    </row>
    <row r="46" spans="1:3" x14ac:dyDescent="0.2">
      <c r="A46" t="s">
        <v>569</v>
      </c>
      <c r="B46">
        <v>20</v>
      </c>
      <c r="C46" s="11" t="str">
        <f>"0x"&amp;DEC2HEX(HEX2DEC(C$1)+SUM($B$2:B46))</f>
        <v>0x3C00159C</v>
      </c>
    </row>
    <row r="47" spans="1:3" x14ac:dyDescent="0.2">
      <c r="A47" t="s">
        <v>570</v>
      </c>
      <c r="B47">
        <v>20</v>
      </c>
      <c r="C47" s="11" t="str">
        <f>"0x"&amp;DEC2HEX(HEX2DEC(C$1)+SUM($B$2:B47))</f>
        <v>0x3C0015B0</v>
      </c>
    </row>
    <row r="48" spans="1:3" x14ac:dyDescent="0.2">
      <c r="A48" t="s">
        <v>571</v>
      </c>
      <c r="B48">
        <v>20</v>
      </c>
      <c r="C48" s="11" t="str">
        <f>"0x"&amp;DEC2HEX(HEX2DEC(C$1)+SUM($B$2:B48))</f>
        <v>0x3C0015C4</v>
      </c>
    </row>
    <row r="49" spans="1:3" x14ac:dyDescent="0.2">
      <c r="A49" t="s">
        <v>572</v>
      </c>
      <c r="B49">
        <v>2699</v>
      </c>
      <c r="C49" s="11" t="str">
        <f>"0x"&amp;DEC2HEX(HEX2DEC(C$1)+SUM($B$2:B49))</f>
        <v>0x3C00204F</v>
      </c>
    </row>
    <row r="50" spans="1:3" x14ac:dyDescent="0.2">
      <c r="A50" t="s">
        <v>268</v>
      </c>
      <c r="B50">
        <v>1</v>
      </c>
      <c r="C50" s="11" t="str">
        <f>"0x"&amp;DEC2HEX(HEX2DEC(C$1)+SUM($B$2:B50))</f>
        <v>0x3C002050</v>
      </c>
    </row>
    <row r="51" spans="1:3" x14ac:dyDescent="0.2">
      <c r="A51" t="s">
        <v>573</v>
      </c>
      <c r="B51">
        <v>6</v>
      </c>
      <c r="C51" s="11" t="str">
        <f>"0x"&amp;DEC2HEX(HEX2DEC(C$1)+SUM($B$2:B51))</f>
        <v>0x3C002056</v>
      </c>
    </row>
    <row r="52" spans="1:3" x14ac:dyDescent="0.2">
      <c r="A52" t="s">
        <v>268</v>
      </c>
      <c r="B52">
        <v>2</v>
      </c>
      <c r="C52" s="11" t="str">
        <f>"0x"&amp;DEC2HEX(HEX2DEC(C$1)+SUM($B$2:B52))</f>
        <v>0x3C002058</v>
      </c>
    </row>
    <row r="53" spans="1:3" x14ac:dyDescent="0.2">
      <c r="A53" t="s">
        <v>308</v>
      </c>
      <c r="B53">
        <v>164</v>
      </c>
      <c r="C53" s="11" t="str">
        <f>"0x"&amp;DEC2HEX(HEX2DEC(C$1)+SUM($B$2:B53))</f>
        <v>0x3C0020FC</v>
      </c>
    </row>
    <row r="54" spans="1:3" x14ac:dyDescent="0.2">
      <c r="A54" t="s">
        <v>574</v>
      </c>
      <c r="B54">
        <v>32</v>
      </c>
      <c r="C54" s="11" t="str">
        <f>"0x"&amp;DEC2HEX(HEX2DEC(C$1)+SUM($B$2:B54))</f>
        <v>0x3C00211C</v>
      </c>
    </row>
    <row r="55" spans="1:3" x14ac:dyDescent="0.2">
      <c r="A55" t="s">
        <v>575</v>
      </c>
      <c r="B55">
        <v>32</v>
      </c>
      <c r="C55" s="11" t="str">
        <f>"0x"&amp;DEC2HEX(HEX2DEC(C$1)+SUM($B$2:B55))</f>
        <v>0x3C00213C</v>
      </c>
    </row>
    <row r="56" spans="1:3" x14ac:dyDescent="0.2">
      <c r="A56" t="s">
        <v>576</v>
      </c>
      <c r="B56">
        <v>32</v>
      </c>
      <c r="C56" s="11" t="str">
        <f>"0x"&amp;DEC2HEX(HEX2DEC(C$1)+SUM($B$2:B56))</f>
        <v>0x3C00215C</v>
      </c>
    </row>
    <row r="57" spans="1:3" x14ac:dyDescent="0.2">
      <c r="A57" t="s">
        <v>577</v>
      </c>
      <c r="B57">
        <v>9</v>
      </c>
      <c r="C57" s="11" t="str">
        <f>"0x"&amp;DEC2HEX(HEX2DEC(C$1)+SUM($B$2:B57))</f>
        <v>0x3C002165</v>
      </c>
    </row>
    <row r="58" spans="1:3" x14ac:dyDescent="0.2">
      <c r="A58" t="s">
        <v>268</v>
      </c>
      <c r="B58">
        <v>3</v>
      </c>
      <c r="C58" s="11" t="str">
        <f>"0x"&amp;DEC2HEX(HEX2DEC(C$1)+SUM($B$2:B58))</f>
        <v>0x3C002168</v>
      </c>
    </row>
    <row r="59" spans="1:3" x14ac:dyDescent="0.2">
      <c r="A59" t="s">
        <v>578</v>
      </c>
      <c r="B59">
        <v>9</v>
      </c>
      <c r="C59" s="11" t="str">
        <f>"0x"&amp;DEC2HEX(HEX2DEC(C$1)+SUM($B$2:B59))</f>
        <v>0x3C002171</v>
      </c>
    </row>
    <row r="60" spans="1:3" x14ac:dyDescent="0.2">
      <c r="A60" t="s">
        <v>268</v>
      </c>
      <c r="B60">
        <v>3</v>
      </c>
      <c r="C60" s="11" t="str">
        <f>"0x"&amp;DEC2HEX(HEX2DEC(C$1)+SUM($B$2:B60))</f>
        <v>0x3C002174</v>
      </c>
    </row>
    <row r="61" spans="1:3" x14ac:dyDescent="0.2">
      <c r="A61" t="s">
        <v>579</v>
      </c>
      <c r="B61">
        <v>28</v>
      </c>
      <c r="C61" s="11" t="str">
        <f>"0x"&amp;DEC2HEX(HEX2DEC(C$1)+SUM($B$2:B61))</f>
        <v>0x3C002190</v>
      </c>
    </row>
    <row r="62" spans="1:3" x14ac:dyDescent="0.2">
      <c r="A62" t="s">
        <v>580</v>
      </c>
      <c r="B62">
        <v>212</v>
      </c>
      <c r="C62" s="11" t="str">
        <f>"0x"&amp;DEC2HEX(HEX2DEC(C$1)+SUM($B$2:B62))</f>
        <v>0x3C002264</v>
      </c>
    </row>
    <row r="63" spans="1:3" x14ac:dyDescent="0.2">
      <c r="A63" t="s">
        <v>581</v>
      </c>
      <c r="B63">
        <v>212</v>
      </c>
      <c r="C63" s="11" t="str">
        <f>"0x"&amp;DEC2HEX(HEX2DEC(C$1)+SUM($B$2:B63))</f>
        <v>0x3C002338</v>
      </c>
    </row>
    <row r="64" spans="1:3" x14ac:dyDescent="0.2">
      <c r="A64" t="s">
        <v>582</v>
      </c>
      <c r="B64">
        <v>28</v>
      </c>
      <c r="C64" s="11" t="str">
        <f>"0x"&amp;DEC2HEX(HEX2DEC(C$1)+SUM($B$2:B64))</f>
        <v>0x3C002354</v>
      </c>
    </row>
    <row r="65" spans="1:3" x14ac:dyDescent="0.2">
      <c r="A65" t="s">
        <v>583</v>
      </c>
      <c r="B65">
        <v>24</v>
      </c>
      <c r="C65" s="11" t="str">
        <f>"0x"&amp;DEC2HEX(HEX2DEC(C$1)+SUM($B$2:B65))</f>
        <v>0x3C00236C</v>
      </c>
    </row>
    <row r="66" spans="1:3" x14ac:dyDescent="0.2">
      <c r="A66" t="s">
        <v>584</v>
      </c>
      <c r="B66">
        <v>36</v>
      </c>
      <c r="C66" s="11" t="str">
        <f>"0x"&amp;DEC2HEX(HEX2DEC(C$1)+SUM($B$2:B66))</f>
        <v>0x3C002390</v>
      </c>
    </row>
    <row r="67" spans="1:3" x14ac:dyDescent="0.2">
      <c r="A67" t="s">
        <v>585</v>
      </c>
      <c r="B67">
        <v>44</v>
      </c>
      <c r="C67" s="11" t="str">
        <f>"0x"&amp;DEC2HEX(HEX2DEC(C$1)+SUM($B$2:B67))</f>
        <v>0x3C0023BC</v>
      </c>
    </row>
    <row r="68" spans="1:3" x14ac:dyDescent="0.2">
      <c r="A68" t="s">
        <v>308</v>
      </c>
      <c r="B68">
        <v>516</v>
      </c>
      <c r="C68" s="10" t="str">
        <f>"0x"&amp;DEC2HEX(HEX2DEC(C$1)+SUM($B$2:B68))</f>
        <v>0x3C0025C0</v>
      </c>
    </row>
    <row r="69" spans="1:3" x14ac:dyDescent="0.2">
      <c r="A69" t="s">
        <v>586</v>
      </c>
      <c r="B69">
        <v>36</v>
      </c>
      <c r="C69" s="10" t="str">
        <f>"0x"&amp;DEC2HEX(HEX2DEC(C$1)+SUM($B$2:B69))</f>
        <v>0x3C0025E4</v>
      </c>
    </row>
    <row r="70" spans="1:3" x14ac:dyDescent="0.2">
      <c r="A70" t="s">
        <v>587</v>
      </c>
      <c r="B70">
        <v>40</v>
      </c>
      <c r="C70" s="10" t="str">
        <f>"0x"&amp;DEC2HEX(HEX2DEC(C$1)+SUM($B$2:B70))</f>
        <v>0x3C00260C</v>
      </c>
    </row>
    <row r="71" spans="1:3" x14ac:dyDescent="0.2">
      <c r="A71" t="s">
        <v>308</v>
      </c>
      <c r="B71">
        <v>12</v>
      </c>
      <c r="C71" s="10" t="str">
        <f>"0x"&amp;DEC2HEX(HEX2DEC(C$1)+SUM($B$2:B71))</f>
        <v>0x3C002618</v>
      </c>
    </row>
    <row r="72" spans="1:3" x14ac:dyDescent="0.2">
      <c r="A72" t="s">
        <v>588</v>
      </c>
      <c r="B72">
        <v>176</v>
      </c>
      <c r="C72" s="10" t="str">
        <f>"0x"&amp;DEC2HEX(HEX2DEC(C$1)+SUM($B$2:B72))</f>
        <v>0x3C0026C8</v>
      </c>
    </row>
    <row r="73" spans="1:3" x14ac:dyDescent="0.2">
      <c r="A73" t="s">
        <v>589</v>
      </c>
      <c r="B73">
        <v>40</v>
      </c>
      <c r="C73" s="10" t="str">
        <f>"0x"&amp;DEC2HEX(HEX2DEC(C$1)+SUM($B$2:B73))</f>
        <v>0x3C0026F0</v>
      </c>
    </row>
    <row r="74" spans="1:3" x14ac:dyDescent="0.2">
      <c r="A74" t="s">
        <v>308</v>
      </c>
      <c r="B74">
        <v>84</v>
      </c>
      <c r="C74" s="10" t="str">
        <f>"0x"&amp;DEC2HEX(HEX2DEC(C$1)+SUM($B$2:B74))</f>
        <v>0x3C002744</v>
      </c>
    </row>
    <row r="75" spans="1:3" x14ac:dyDescent="0.2">
      <c r="A75" t="s">
        <v>590</v>
      </c>
      <c r="B75">
        <v>6</v>
      </c>
      <c r="C75" s="10" t="str">
        <f>"0x"&amp;DEC2HEX(HEX2DEC(C$1)+SUM($B$2:B75))</f>
        <v>0x3C00274A</v>
      </c>
    </row>
    <row r="76" spans="1:3" x14ac:dyDescent="0.2">
      <c r="A76" t="s">
        <v>268</v>
      </c>
      <c r="B76">
        <v>2</v>
      </c>
      <c r="C76" s="10" t="str">
        <f>"0x"&amp;DEC2HEX(HEX2DEC(C$1)+SUM($B$2:B76))</f>
        <v>0x3C00274C</v>
      </c>
    </row>
    <row r="77" spans="1:3" x14ac:dyDescent="0.2">
      <c r="A77" t="s">
        <v>591</v>
      </c>
      <c r="B77">
        <v>75</v>
      </c>
      <c r="C77" s="10" t="str">
        <f>"0x"&amp;DEC2HEX(HEX2DEC(C$1)+SUM($B$2:B77))</f>
        <v>0x3C002797</v>
      </c>
    </row>
    <row r="78" spans="1:3" x14ac:dyDescent="0.2">
      <c r="A78" t="s">
        <v>268</v>
      </c>
      <c r="B78">
        <v>1</v>
      </c>
      <c r="C78" s="10" t="str">
        <f>"0x"&amp;DEC2HEX(HEX2DEC(C$1)+SUM($B$2:B78))</f>
        <v>0x3C002798</v>
      </c>
    </row>
    <row r="79" spans="1:3" x14ac:dyDescent="0.2">
      <c r="A79" t="s">
        <v>5</v>
      </c>
      <c r="B79">
        <v>30</v>
      </c>
      <c r="C79" s="10" t="str">
        <f>"0x"&amp;DEC2HEX(HEX2DEC(C$1)+SUM($B$2:B79))</f>
        <v>0x3C0027B6</v>
      </c>
    </row>
    <row r="80" spans="1:3" x14ac:dyDescent="0.2">
      <c r="A80" t="s">
        <v>268</v>
      </c>
      <c r="B80">
        <v>2</v>
      </c>
      <c r="C80" s="10" t="str">
        <f>"0x"&amp;DEC2HEX(HEX2DEC(C$1)+SUM($B$2:B80))</f>
        <v>0x3C0027B8</v>
      </c>
    </row>
    <row r="81" spans="1:3" x14ac:dyDescent="0.2">
      <c r="A81" t="s">
        <v>308</v>
      </c>
      <c r="B81">
        <v>592</v>
      </c>
      <c r="C81" s="10" t="str">
        <f>"0x"&amp;DEC2HEX(HEX2DEC(C$1)+SUM($B$2:B81))</f>
        <v>0x3C002A08</v>
      </c>
    </row>
    <row r="82" spans="1:3" x14ac:dyDescent="0.2">
      <c r="A82" t="s">
        <v>592</v>
      </c>
      <c r="B82" s="3">
        <v>28</v>
      </c>
      <c r="C82" s="10" t="str">
        <f>"0x"&amp;DEC2HEX(HEX2DEC(C$1)+SUM($B$2:B82))</f>
        <v>0x3C002A24</v>
      </c>
    </row>
    <row r="83" spans="1:3" x14ac:dyDescent="0.2">
      <c r="A83" t="s">
        <v>308</v>
      </c>
      <c r="B83" s="2">
        <v>172</v>
      </c>
      <c r="C83" s="10" t="str">
        <f>"0x"&amp;DEC2HEX(HEX2DEC(C$1)+SUM($B$2:B83))</f>
        <v>0x3C002AD0</v>
      </c>
    </row>
    <row r="84" spans="1:3" x14ac:dyDescent="0.2">
      <c r="A84" t="s">
        <v>593</v>
      </c>
      <c r="B84" s="2">
        <v>116</v>
      </c>
      <c r="C84" s="10" t="str">
        <f>"0x"&amp;DEC2HEX(HEX2DEC(C$1)+SUM($B$2:B84))</f>
        <v>0x3C002B44</v>
      </c>
    </row>
    <row r="85" spans="1:3" x14ac:dyDescent="0.2">
      <c r="A85" t="s">
        <v>308</v>
      </c>
      <c r="B85" s="2">
        <v>12</v>
      </c>
      <c r="C85" s="10" t="str">
        <f>"0x"&amp;DEC2HEX(HEX2DEC(C$1)+SUM($B$2:B85))</f>
        <v>0x3C002B50</v>
      </c>
    </row>
    <row r="86" spans="1:3" x14ac:dyDescent="0.2">
      <c r="A86" t="s">
        <v>594</v>
      </c>
      <c r="B86" s="2">
        <v>10</v>
      </c>
      <c r="C86" s="10" t="str">
        <f>"0x"&amp;DEC2HEX(HEX2DEC(C$1)+SUM($B$2:B86))</f>
        <v>0x3C002B5A</v>
      </c>
    </row>
    <row r="87" spans="1:3" x14ac:dyDescent="0.2">
      <c r="A87" t="s">
        <v>268</v>
      </c>
      <c r="B87" s="2">
        <v>2</v>
      </c>
      <c r="C87" s="10" t="str">
        <f>"0x"&amp;DEC2HEX(HEX2DEC(C$1)+SUM($B$2:B87))</f>
        <v>0x3C002B5C</v>
      </c>
    </row>
    <row r="88" spans="1:3" x14ac:dyDescent="0.2">
      <c r="A88" t="s">
        <v>595</v>
      </c>
      <c r="B88" s="2">
        <v>256</v>
      </c>
      <c r="C88" s="10" t="str">
        <f>"0x"&amp;DEC2HEX(HEX2DEC(C$1)+SUM($B$2:B88))</f>
        <v>0x3C002C5C</v>
      </c>
    </row>
    <row r="89" spans="1:3" x14ac:dyDescent="0.2">
      <c r="A89" t="s">
        <v>596</v>
      </c>
      <c r="B89" s="2">
        <v>1024</v>
      </c>
      <c r="C89" s="10" t="str">
        <f>"0x"&amp;DEC2HEX(HEX2DEC(C$1)+SUM($B$2:B89))</f>
        <v>0x3C00305C</v>
      </c>
    </row>
    <row r="90" spans="1:3" x14ac:dyDescent="0.2">
      <c r="A90" t="s">
        <v>597</v>
      </c>
      <c r="B90" s="2">
        <v>1024</v>
      </c>
      <c r="C90" s="10" t="str">
        <f>"0x"&amp;DEC2HEX(HEX2DEC(C$1)+SUM($B$2:B90))</f>
        <v>0x3C00345C</v>
      </c>
    </row>
    <row r="91" spans="1:3" x14ac:dyDescent="0.2">
      <c r="A91" t="s">
        <v>308</v>
      </c>
      <c r="B91" s="2">
        <v>4</v>
      </c>
      <c r="C91" s="10" t="str">
        <f>"0x"&amp;DEC2HEX(HEX2DEC(C$1)+SUM($B$2:B91))</f>
        <v>0x3C003460</v>
      </c>
    </row>
    <row r="92" spans="1:3" x14ac:dyDescent="0.2">
      <c r="A92" t="s">
        <v>598</v>
      </c>
      <c r="B92" s="2">
        <v>256</v>
      </c>
      <c r="C92" s="10" t="str">
        <f>"0x"&amp;DEC2HEX(HEX2DEC(C$1)+SUM($B$2:B92))</f>
        <v>0x3C003560</v>
      </c>
    </row>
    <row r="93" spans="1:3" x14ac:dyDescent="0.2">
      <c r="A93" t="s">
        <v>599</v>
      </c>
      <c r="B93">
        <v>80</v>
      </c>
      <c r="C93" s="10" t="str">
        <f>"0x"&amp;DEC2HEX(HEX2DEC(C$1)+SUM($B$2:B93))</f>
        <v>0x3C0035B0</v>
      </c>
    </row>
    <row r="94" spans="1:3" x14ac:dyDescent="0.2">
      <c r="A94" t="s">
        <v>600</v>
      </c>
      <c r="B94">
        <v>4</v>
      </c>
      <c r="C94" s="10" t="str">
        <f>"0x"&amp;DEC2HEX(HEX2DEC(C$1)+SUM($B$2:B94))</f>
        <v>0x3C0035B4</v>
      </c>
    </row>
    <row r="95" spans="1:3" x14ac:dyDescent="0.2">
      <c r="A95" t="s">
        <v>601</v>
      </c>
      <c r="B95">
        <v>4</v>
      </c>
      <c r="C95" s="10" t="str">
        <f>"0x"&amp;DEC2HEX(HEX2DEC(C$1)+SUM($B$2:B95))</f>
        <v>0x3C0035B8</v>
      </c>
    </row>
    <row r="96" spans="1:3" x14ac:dyDescent="0.2">
      <c r="A96" t="s">
        <v>602</v>
      </c>
      <c r="B96">
        <v>4</v>
      </c>
      <c r="C96" s="10" t="str">
        <f>"0x"&amp;DEC2HEX(HEX2DEC(C$1)+SUM($B$2:B96))</f>
        <v>0x3C0035BC</v>
      </c>
    </row>
    <row r="97" spans="1:6" x14ac:dyDescent="0.2">
      <c r="A97" t="s">
        <v>603</v>
      </c>
      <c r="B97">
        <v>4</v>
      </c>
      <c r="C97" s="10" t="str">
        <f>"0x"&amp;DEC2HEX(HEX2DEC(C$1)+SUM($B$2:B97))</f>
        <v>0x3C0035C0</v>
      </c>
    </row>
    <row r="98" spans="1:6" x14ac:dyDescent="0.2">
      <c r="A98" t="s">
        <v>604</v>
      </c>
      <c r="B98">
        <v>4</v>
      </c>
      <c r="C98" s="10" t="str">
        <f>"0x"&amp;DEC2HEX(HEX2DEC(C$1)+SUM($B$2:B98))</f>
        <v>0x3C0035C4</v>
      </c>
    </row>
    <row r="99" spans="1:6" x14ac:dyDescent="0.2">
      <c r="A99" t="s">
        <v>605</v>
      </c>
      <c r="B99">
        <v>4</v>
      </c>
      <c r="C99" s="10" t="str">
        <f>"0x"&amp;DEC2HEX(HEX2DEC(C$1)+SUM($B$2:B99))</f>
        <v>0x3C0035C8</v>
      </c>
      <c r="D99" s="15">
        <f>SUM(B$2:$B100)</f>
        <v>13736</v>
      </c>
      <c r="E99" s="16" t="str">
        <f>"0x"&amp;DEC2HEX(D99)</f>
        <v>0x35A8</v>
      </c>
      <c r="F9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4F23-09DF-A441-BF43-BDF7AE1B35ED}">
  <dimension ref="A1:D85"/>
  <sheetViews>
    <sheetView topLeftCell="A61" workbookViewId="0">
      <selection activeCell="D85" sqref="D85"/>
    </sheetView>
  </sheetViews>
  <sheetFormatPr baseColWidth="10" defaultRowHeight="16" x14ac:dyDescent="0.2"/>
  <cols>
    <col min="1" max="1" width="71" customWidth="1"/>
  </cols>
  <sheetData>
    <row r="1" spans="1:2" x14ac:dyDescent="0.2">
      <c r="A1" t="s">
        <v>640</v>
      </c>
      <c r="B1">
        <v>718</v>
      </c>
    </row>
    <row r="2" spans="1:2" x14ac:dyDescent="0.2">
      <c r="A2" t="s">
        <v>641</v>
      </c>
      <c r="B2">
        <v>52</v>
      </c>
    </row>
    <row r="3" spans="1:2" x14ac:dyDescent="0.2">
      <c r="A3" t="s">
        <v>642</v>
      </c>
      <c r="B3">
        <v>8</v>
      </c>
    </row>
    <row r="4" spans="1:2" x14ac:dyDescent="0.2">
      <c r="A4" t="s">
        <v>643</v>
      </c>
      <c r="B4">
        <v>398</v>
      </c>
    </row>
    <row r="5" spans="1:2" x14ac:dyDescent="0.2">
      <c r="A5" t="s">
        <v>644</v>
      </c>
      <c r="B5">
        <v>2</v>
      </c>
    </row>
    <row r="6" spans="1:2" x14ac:dyDescent="0.2">
      <c r="A6" t="s">
        <v>645</v>
      </c>
      <c r="B6">
        <v>10</v>
      </c>
    </row>
    <row r="7" spans="1:2" x14ac:dyDescent="0.2">
      <c r="A7" t="s">
        <v>646</v>
      </c>
      <c r="B7">
        <v>12</v>
      </c>
    </row>
    <row r="9" spans="1:2" x14ac:dyDescent="0.2">
      <c r="A9" t="s">
        <v>650</v>
      </c>
      <c r="B9">
        <v>22</v>
      </c>
    </row>
    <row r="10" spans="1:2" x14ac:dyDescent="0.2">
      <c r="A10" t="s">
        <v>2514</v>
      </c>
      <c r="B10">
        <v>390</v>
      </c>
    </row>
    <row r="11" spans="1:2" x14ac:dyDescent="0.2">
      <c r="A11" t="s">
        <v>647</v>
      </c>
      <c r="B11">
        <v>36</v>
      </c>
    </row>
    <row r="12" spans="1:2" x14ac:dyDescent="0.2">
      <c r="A12" t="s">
        <v>648</v>
      </c>
      <c r="B12">
        <v>20</v>
      </c>
    </row>
    <row r="13" spans="1:2" x14ac:dyDescent="0.2">
      <c r="A13" t="s">
        <v>649</v>
      </c>
      <c r="B13">
        <v>62</v>
      </c>
    </row>
    <row r="15" spans="1:2" x14ac:dyDescent="0.2">
      <c r="A15" t="s">
        <v>651</v>
      </c>
      <c r="B15">
        <v>52</v>
      </c>
    </row>
    <row r="16" spans="1:2" x14ac:dyDescent="0.2">
      <c r="A16" t="s">
        <v>652</v>
      </c>
      <c r="B16">
        <v>44</v>
      </c>
    </row>
    <row r="17" spans="1:2" x14ac:dyDescent="0.2">
      <c r="A17" t="s">
        <v>653</v>
      </c>
      <c r="B17">
        <v>58</v>
      </c>
    </row>
    <row r="19" spans="1:2" x14ac:dyDescent="0.2">
      <c r="A19" t="s">
        <v>654</v>
      </c>
      <c r="B19">
        <v>508</v>
      </c>
    </row>
    <row r="20" spans="1:2" x14ac:dyDescent="0.2">
      <c r="A20" t="s">
        <v>655</v>
      </c>
      <c r="B20">
        <v>50</v>
      </c>
    </row>
    <row r="21" spans="1:2" x14ac:dyDescent="0.2">
      <c r="A21" t="s">
        <v>656</v>
      </c>
    </row>
    <row r="22" spans="1:2" x14ac:dyDescent="0.2">
      <c r="A22" t="s">
        <v>657</v>
      </c>
      <c r="B22">
        <v>116</v>
      </c>
    </row>
    <row r="23" spans="1:2" x14ac:dyDescent="0.2">
      <c r="A23" t="s">
        <v>658</v>
      </c>
    </row>
    <row r="24" spans="1:2" x14ac:dyDescent="0.2">
      <c r="A24" t="s">
        <v>659</v>
      </c>
      <c r="B24">
        <v>58</v>
      </c>
    </row>
    <row r="25" spans="1:2" x14ac:dyDescent="0.2">
      <c r="A25" t="s">
        <v>660</v>
      </c>
    </row>
    <row r="26" spans="1:2" x14ac:dyDescent="0.2">
      <c r="A26" t="s">
        <v>661</v>
      </c>
      <c r="B26">
        <v>64</v>
      </c>
    </row>
    <row r="27" spans="1:2" x14ac:dyDescent="0.2">
      <c r="A27" t="s">
        <v>662</v>
      </c>
      <c r="B27">
        <v>510</v>
      </c>
    </row>
    <row r="29" spans="1:2" x14ac:dyDescent="0.2">
      <c r="A29" t="s">
        <v>663</v>
      </c>
    </row>
    <row r="30" spans="1:2" x14ac:dyDescent="0.2">
      <c r="A30" t="s">
        <v>664</v>
      </c>
      <c r="B30">
        <v>14</v>
      </c>
    </row>
    <row r="31" spans="1:2" x14ac:dyDescent="0.2">
      <c r="A31" t="s">
        <v>663</v>
      </c>
    </row>
    <row r="32" spans="1:2" x14ac:dyDescent="0.2">
      <c r="A32" t="s">
        <v>665</v>
      </c>
      <c r="B32">
        <v>44</v>
      </c>
    </row>
    <row r="33" spans="1:2" x14ac:dyDescent="0.2">
      <c r="A33" t="s">
        <v>663</v>
      </c>
    </row>
    <row r="34" spans="1:2" x14ac:dyDescent="0.2">
      <c r="A34" t="s">
        <v>666</v>
      </c>
      <c r="B34">
        <v>18</v>
      </c>
    </row>
    <row r="36" spans="1:2" x14ac:dyDescent="0.2">
      <c r="A36" t="s">
        <v>2534</v>
      </c>
      <c r="B36">
        <v>822</v>
      </c>
    </row>
    <row r="37" spans="1:2" x14ac:dyDescent="0.2">
      <c r="A37" t="s">
        <v>2535</v>
      </c>
      <c r="B37">
        <v>36</v>
      </c>
    </row>
    <row r="38" spans="1:2" x14ac:dyDescent="0.2">
      <c r="A38" t="s">
        <v>2536</v>
      </c>
      <c r="B38">
        <v>222</v>
      </c>
    </row>
    <row r="39" spans="1:2" x14ac:dyDescent="0.2">
      <c r="A39" t="s">
        <v>2537</v>
      </c>
      <c r="B39">
        <v>440</v>
      </c>
    </row>
    <row r="40" spans="1:2" x14ac:dyDescent="0.2">
      <c r="A40" t="s">
        <v>2538</v>
      </c>
      <c r="B40">
        <v>110</v>
      </c>
    </row>
    <row r="41" spans="1:2" x14ac:dyDescent="0.2">
      <c r="A41" t="s">
        <v>2539</v>
      </c>
      <c r="B41">
        <v>306</v>
      </c>
    </row>
    <row r="42" spans="1:2" x14ac:dyDescent="0.2">
      <c r="A42" t="s">
        <v>2540</v>
      </c>
      <c r="B42">
        <v>100</v>
      </c>
    </row>
    <row r="43" spans="1:2" x14ac:dyDescent="0.2">
      <c r="A43" t="s">
        <v>2541</v>
      </c>
      <c r="B43">
        <v>28</v>
      </c>
    </row>
    <row r="44" spans="1:2" x14ac:dyDescent="0.2">
      <c r="A44" t="s">
        <v>2542</v>
      </c>
      <c r="B44">
        <v>10</v>
      </c>
    </row>
    <row r="45" spans="1:2" x14ac:dyDescent="0.2">
      <c r="A45" t="s">
        <v>2543</v>
      </c>
      <c r="B45">
        <v>68</v>
      </c>
    </row>
    <row r="46" spans="1:2" x14ac:dyDescent="0.2">
      <c r="A46" t="s">
        <v>2545</v>
      </c>
      <c r="B46">
        <v>10</v>
      </c>
    </row>
    <row r="47" spans="1:2" x14ac:dyDescent="0.2">
      <c r="A47" t="s">
        <v>2544</v>
      </c>
      <c r="B47">
        <v>10</v>
      </c>
    </row>
    <row r="48" spans="1:2" x14ac:dyDescent="0.2">
      <c r="A48" t="s">
        <v>2509</v>
      </c>
      <c r="B48">
        <v>338</v>
      </c>
    </row>
    <row r="49" spans="1:2" x14ac:dyDescent="0.2">
      <c r="A49" t="s">
        <v>2546</v>
      </c>
      <c r="B49">
        <v>444</v>
      </c>
    </row>
    <row r="50" spans="1:2" x14ac:dyDescent="0.2">
      <c r="A50" t="s">
        <v>2547</v>
      </c>
      <c r="B50">
        <v>370</v>
      </c>
    </row>
    <row r="51" spans="1:2" x14ac:dyDescent="0.2">
      <c r="A51" t="s">
        <v>2548</v>
      </c>
      <c r="B51">
        <v>100</v>
      </c>
    </row>
    <row r="53" spans="1:2" x14ac:dyDescent="0.2">
      <c r="A53" t="s">
        <v>2549</v>
      </c>
      <c r="B53">
        <v>22</v>
      </c>
    </row>
    <row r="54" spans="1:2" x14ac:dyDescent="0.2">
      <c r="A54" t="s">
        <v>2550</v>
      </c>
      <c r="B54">
        <v>22</v>
      </c>
    </row>
    <row r="55" spans="1:2" x14ac:dyDescent="0.2">
      <c r="A55" t="s">
        <v>2551</v>
      </c>
      <c r="B55">
        <v>156</v>
      </c>
    </row>
    <row r="56" spans="1:2" x14ac:dyDescent="0.2">
      <c r="A56" t="s">
        <v>2552</v>
      </c>
      <c r="B56">
        <v>30</v>
      </c>
    </row>
    <row r="57" spans="1:2" x14ac:dyDescent="0.2">
      <c r="A57" t="s">
        <v>2553</v>
      </c>
      <c r="B57">
        <v>60</v>
      </c>
    </row>
    <row r="58" spans="1:2" x14ac:dyDescent="0.2">
      <c r="A58" t="s">
        <v>2554</v>
      </c>
    </row>
    <row r="59" spans="1:2" x14ac:dyDescent="0.2">
      <c r="A59" t="s">
        <v>2555</v>
      </c>
    </row>
    <row r="60" spans="1:2" x14ac:dyDescent="0.2">
      <c r="A60" t="s">
        <v>2556</v>
      </c>
    </row>
    <row r="61" spans="1:2" x14ac:dyDescent="0.2">
      <c r="A61" t="s">
        <v>2555</v>
      </c>
      <c r="B61">
        <v>178</v>
      </c>
    </row>
    <row r="62" spans="1:2" x14ac:dyDescent="0.2">
      <c r="A62" t="s">
        <v>2513</v>
      </c>
      <c r="B62">
        <v>200</v>
      </c>
    </row>
    <row r="65" spans="1:2" x14ac:dyDescent="0.2">
      <c r="A65" t="s">
        <v>701</v>
      </c>
      <c r="B65">
        <v>46</v>
      </c>
    </row>
    <row r="66" spans="1:2" x14ac:dyDescent="0.2">
      <c r="A66" t="s">
        <v>2515</v>
      </c>
    </row>
    <row r="67" spans="1:2" x14ac:dyDescent="0.2">
      <c r="A67" t="s">
        <v>2516</v>
      </c>
      <c r="B67">
        <v>248</v>
      </c>
    </row>
    <row r="68" spans="1:2" x14ac:dyDescent="0.2">
      <c r="A68" t="s">
        <v>673</v>
      </c>
      <c r="B68">
        <v>126</v>
      </c>
    </row>
    <row r="69" spans="1:2" x14ac:dyDescent="0.2">
      <c r="A69" t="s">
        <v>2517</v>
      </c>
      <c r="B69">
        <v>20</v>
      </c>
    </row>
    <row r="70" spans="1:2" x14ac:dyDescent="0.2">
      <c r="A70" t="s">
        <v>2519</v>
      </c>
    </row>
    <row r="71" spans="1:2" x14ac:dyDescent="0.2">
      <c r="A71" t="s">
        <v>2518</v>
      </c>
      <c r="B71">
        <v>4</v>
      </c>
    </row>
    <row r="72" spans="1:2" x14ac:dyDescent="0.2">
      <c r="A72" t="s">
        <v>2519</v>
      </c>
    </row>
    <row r="73" spans="1:2" x14ac:dyDescent="0.2">
      <c r="A73" t="s">
        <v>2520</v>
      </c>
      <c r="B73">
        <v>4</v>
      </c>
    </row>
    <row r="74" spans="1:2" x14ac:dyDescent="0.2">
      <c r="A74" t="s">
        <v>2521</v>
      </c>
      <c r="B74">
        <v>24</v>
      </c>
    </row>
    <row r="76" spans="1:2" x14ac:dyDescent="0.2">
      <c r="A76" t="s">
        <v>667</v>
      </c>
      <c r="B76">
        <v>210</v>
      </c>
    </row>
    <row r="77" spans="1:2" x14ac:dyDescent="0.2">
      <c r="A77" t="s">
        <v>667</v>
      </c>
      <c r="B77">
        <v>220</v>
      </c>
    </row>
    <row r="78" spans="1:2" x14ac:dyDescent="0.2">
      <c r="A78" t="s">
        <v>667</v>
      </c>
      <c r="B78">
        <v>424</v>
      </c>
    </row>
    <row r="80" spans="1:2" x14ac:dyDescent="0.2">
      <c r="A80" t="s">
        <v>668</v>
      </c>
    </row>
    <row r="81" spans="1:4" x14ac:dyDescent="0.2">
      <c r="A81" t="s">
        <v>669</v>
      </c>
      <c r="B81">
        <v>10</v>
      </c>
    </row>
    <row r="82" spans="1:4" x14ac:dyDescent="0.2">
      <c r="A82" t="s">
        <v>668</v>
      </c>
    </row>
    <row r="83" spans="1:4" x14ac:dyDescent="0.2">
      <c r="A83" t="s">
        <v>670</v>
      </c>
      <c r="B83">
        <v>12</v>
      </c>
    </row>
    <row r="84" spans="1:4" x14ac:dyDescent="0.2">
      <c r="A84" t="s">
        <v>671</v>
      </c>
      <c r="B84">
        <v>26</v>
      </c>
    </row>
    <row r="85" spans="1:4" x14ac:dyDescent="0.2">
      <c r="A85" t="s">
        <v>672</v>
      </c>
      <c r="B85">
        <v>18</v>
      </c>
      <c r="C85" s="8">
        <f>SUM(B$1:$B85)</f>
        <v>8740</v>
      </c>
      <c r="D85" s="9" t="str">
        <f>"0x"&amp;DEC2HEX(C85)</f>
        <v>0x2224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D068-7683-454D-A991-24E63FD5E545}">
  <dimension ref="A1:E58"/>
  <sheetViews>
    <sheetView topLeftCell="A24" workbookViewId="0">
      <selection activeCell="C41" sqref="C41"/>
    </sheetView>
  </sheetViews>
  <sheetFormatPr baseColWidth="10" defaultRowHeight="16" x14ac:dyDescent="0.2"/>
  <cols>
    <col min="1" max="1" width="13.33203125" customWidth="1"/>
    <col min="2" max="2" width="62.33203125" customWidth="1"/>
  </cols>
  <sheetData>
    <row r="1" spans="1:3" x14ac:dyDescent="0.2">
      <c r="A1" s="1" t="s">
        <v>613</v>
      </c>
    </row>
    <row r="2" spans="1:3" x14ac:dyDescent="0.2">
      <c r="B2" t="s">
        <v>674</v>
      </c>
      <c r="C2">
        <v>2</v>
      </c>
    </row>
    <row r="4" spans="1:3" x14ac:dyDescent="0.2">
      <c r="B4" t="s">
        <v>675</v>
      </c>
    </row>
    <row r="5" spans="1:3" x14ac:dyDescent="0.2">
      <c r="B5" t="s">
        <v>676</v>
      </c>
    </row>
    <row r="6" spans="1:3" x14ac:dyDescent="0.2">
      <c r="B6" t="s">
        <v>676</v>
      </c>
    </row>
    <row r="8" spans="1:3" x14ac:dyDescent="0.2">
      <c r="B8" t="s">
        <v>677</v>
      </c>
      <c r="C8">
        <v>18</v>
      </c>
    </row>
    <row r="9" spans="1:3" x14ac:dyDescent="0.2">
      <c r="B9" t="s">
        <v>677</v>
      </c>
      <c r="C9">
        <v>22</v>
      </c>
    </row>
    <row r="10" spans="1:3" x14ac:dyDescent="0.2">
      <c r="B10" t="s">
        <v>677</v>
      </c>
      <c r="C10">
        <v>12</v>
      </c>
    </row>
    <row r="11" spans="1:3" x14ac:dyDescent="0.2">
      <c r="B11" t="s">
        <v>677</v>
      </c>
      <c r="C11">
        <v>8</v>
      </c>
    </row>
    <row r="12" spans="1:3" x14ac:dyDescent="0.2">
      <c r="B12" t="s">
        <v>677</v>
      </c>
      <c r="C12">
        <v>6</v>
      </c>
    </row>
    <row r="14" spans="1:3" x14ac:dyDescent="0.2">
      <c r="B14" t="s">
        <v>678</v>
      </c>
      <c r="C14">
        <v>16</v>
      </c>
    </row>
    <row r="15" spans="1:3" x14ac:dyDescent="0.2">
      <c r="B15" t="s">
        <v>679</v>
      </c>
      <c r="C15">
        <v>84</v>
      </c>
    </row>
    <row r="16" spans="1:3" x14ac:dyDescent="0.2">
      <c r="B16" t="s">
        <v>680</v>
      </c>
      <c r="C16">
        <v>2</v>
      </c>
    </row>
    <row r="17" spans="2:3" x14ac:dyDescent="0.2">
      <c r="B17" t="s">
        <v>681</v>
      </c>
      <c r="C17">
        <v>20</v>
      </c>
    </row>
    <row r="19" spans="2:3" x14ac:dyDescent="0.2">
      <c r="B19" t="s">
        <v>682</v>
      </c>
      <c r="C19">
        <v>60</v>
      </c>
    </row>
    <row r="20" spans="2:3" x14ac:dyDescent="0.2">
      <c r="B20" t="s">
        <v>683</v>
      </c>
      <c r="C20">
        <v>84</v>
      </c>
    </row>
    <row r="21" spans="2:3" x14ac:dyDescent="0.2">
      <c r="B21" t="s">
        <v>684</v>
      </c>
      <c r="C21">
        <v>70</v>
      </c>
    </row>
    <row r="22" spans="2:3" x14ac:dyDescent="0.2">
      <c r="B22" t="s">
        <v>685</v>
      </c>
      <c r="C22">
        <v>82</v>
      </c>
    </row>
    <row r="23" spans="2:3" x14ac:dyDescent="0.2">
      <c r="B23" t="s">
        <v>686</v>
      </c>
      <c r="C23">
        <v>12</v>
      </c>
    </row>
    <row r="25" spans="2:3" x14ac:dyDescent="0.2">
      <c r="B25" t="s">
        <v>687</v>
      </c>
      <c r="C25">
        <v>40</v>
      </c>
    </row>
    <row r="26" spans="2:3" x14ac:dyDescent="0.2">
      <c r="B26" t="s">
        <v>688</v>
      </c>
      <c r="C26">
        <v>102</v>
      </c>
    </row>
    <row r="27" spans="2:3" x14ac:dyDescent="0.2">
      <c r="B27" t="s">
        <v>689</v>
      </c>
      <c r="C27">
        <v>76</v>
      </c>
    </row>
    <row r="28" spans="2:3" x14ac:dyDescent="0.2">
      <c r="B28" t="s">
        <v>690</v>
      </c>
      <c r="C28">
        <v>96</v>
      </c>
    </row>
    <row r="30" spans="2:3" x14ac:dyDescent="0.2">
      <c r="B30" t="s">
        <v>691</v>
      </c>
      <c r="C30">
        <v>1126</v>
      </c>
    </row>
    <row r="31" spans="2:3" x14ac:dyDescent="0.2">
      <c r="B31" t="s">
        <v>692</v>
      </c>
      <c r="C31">
        <v>252</v>
      </c>
    </row>
    <row r="32" spans="2:3" x14ac:dyDescent="0.2">
      <c r="B32" t="s">
        <v>693</v>
      </c>
      <c r="C32">
        <v>640</v>
      </c>
    </row>
    <row r="33" spans="2:3" x14ac:dyDescent="0.2">
      <c r="B33" t="s">
        <v>2421</v>
      </c>
      <c r="C33">
        <v>168</v>
      </c>
    </row>
    <row r="34" spans="2:3" x14ac:dyDescent="0.2">
      <c r="B34" t="s">
        <v>2487</v>
      </c>
      <c r="C34">
        <v>196</v>
      </c>
    </row>
    <row r="36" spans="2:3" x14ac:dyDescent="0.2">
      <c r="B36" t="s">
        <v>2532</v>
      </c>
      <c r="C36">
        <v>178</v>
      </c>
    </row>
    <row r="37" spans="2:3" x14ac:dyDescent="0.2">
      <c r="B37" t="s">
        <v>2532</v>
      </c>
      <c r="C37">
        <v>572</v>
      </c>
    </row>
    <row r="38" spans="2:3" x14ac:dyDescent="0.2">
      <c r="B38" t="s">
        <v>2532</v>
      </c>
      <c r="C38">
        <v>190</v>
      </c>
    </row>
    <row r="40" spans="2:3" x14ac:dyDescent="0.2">
      <c r="B40" t="s">
        <v>2533</v>
      </c>
      <c r="C40">
        <v>730</v>
      </c>
    </row>
    <row r="42" spans="2:3" x14ac:dyDescent="0.2">
      <c r="B42" t="s">
        <v>2524</v>
      </c>
    </row>
    <row r="43" spans="2:3" x14ac:dyDescent="0.2">
      <c r="B43" t="s">
        <v>2525</v>
      </c>
    </row>
    <row r="44" spans="2:3" x14ac:dyDescent="0.2">
      <c r="B44" t="s">
        <v>2526</v>
      </c>
    </row>
    <row r="45" spans="2:3" x14ac:dyDescent="0.2">
      <c r="B45" t="s">
        <v>2527</v>
      </c>
      <c r="C45">
        <v>46</v>
      </c>
    </row>
    <row r="47" spans="2:3" x14ac:dyDescent="0.2">
      <c r="B47" t="s">
        <v>2422</v>
      </c>
      <c r="C47">
        <v>86</v>
      </c>
    </row>
    <row r="48" spans="2:3" x14ac:dyDescent="0.2">
      <c r="B48" t="s">
        <v>694</v>
      </c>
      <c r="C48">
        <v>18</v>
      </c>
    </row>
    <row r="49" spans="1:5" x14ac:dyDescent="0.2">
      <c r="B49" t="s">
        <v>2522</v>
      </c>
      <c r="C49">
        <v>56</v>
      </c>
    </row>
    <row r="50" spans="1:5" x14ac:dyDescent="0.2">
      <c r="B50" t="s">
        <v>2523</v>
      </c>
      <c r="C50">
        <v>58</v>
      </c>
      <c r="D50" s="8">
        <f>SUM($B$1:C50)</f>
        <v>5128</v>
      </c>
      <c r="E50" s="16" t="str">
        <f>"0x"&amp;DEC2HEX(D50)</f>
        <v>0x1408</v>
      </c>
    </row>
    <row r="53" spans="1:5" x14ac:dyDescent="0.2">
      <c r="A53" s="1" t="s">
        <v>695</v>
      </c>
    </row>
    <row r="54" spans="1:5" x14ac:dyDescent="0.2">
      <c r="B54" t="s">
        <v>696</v>
      </c>
      <c r="C54">
        <v>88</v>
      </c>
    </row>
    <row r="55" spans="1:5" x14ac:dyDescent="0.2">
      <c r="B55" t="s">
        <v>697</v>
      </c>
      <c r="C55">
        <v>42</v>
      </c>
    </row>
    <row r="56" spans="1:5" x14ac:dyDescent="0.2">
      <c r="B56" t="s">
        <v>698</v>
      </c>
      <c r="C56">
        <v>96</v>
      </c>
    </row>
    <row r="57" spans="1:5" x14ac:dyDescent="0.2">
      <c r="B57" t="s">
        <v>699</v>
      </c>
      <c r="C57">
        <v>54</v>
      </c>
    </row>
    <row r="58" spans="1:5" x14ac:dyDescent="0.2">
      <c r="B58" t="s">
        <v>700</v>
      </c>
      <c r="C58">
        <v>480</v>
      </c>
      <c r="D58" s="17">
        <f>SUM($B$54:C58)</f>
        <v>760</v>
      </c>
      <c r="E58" s="12" t="str">
        <f>"0x"&amp;DEC2HEX(D58)</f>
        <v>0x2F8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34CB-D566-C040-86B1-2128A4AB042B}">
  <dimension ref="A1:E26"/>
  <sheetViews>
    <sheetView workbookViewId="0">
      <selection activeCell="D26" sqref="D26"/>
    </sheetView>
  </sheetViews>
  <sheetFormatPr baseColWidth="10" defaultRowHeight="16" x14ac:dyDescent="0.2"/>
  <cols>
    <col min="1" max="1" width="12.33203125" customWidth="1"/>
    <col min="2" max="2" width="52.33203125" customWidth="1"/>
  </cols>
  <sheetData>
    <row r="1" spans="1:3" x14ac:dyDescent="0.2">
      <c r="A1" s="1" t="s">
        <v>702</v>
      </c>
    </row>
    <row r="2" spans="1:3" x14ac:dyDescent="0.2">
      <c r="B2" t="s">
        <v>703</v>
      </c>
      <c r="C2">
        <v>142</v>
      </c>
    </row>
    <row r="3" spans="1:3" x14ac:dyDescent="0.2">
      <c r="B3" t="s">
        <v>704</v>
      </c>
      <c r="C3">
        <v>112</v>
      </c>
    </row>
    <row r="4" spans="1:3" x14ac:dyDescent="0.2">
      <c r="B4" t="s">
        <v>705</v>
      </c>
      <c r="C4">
        <v>150</v>
      </c>
    </row>
    <row r="6" spans="1:3" x14ac:dyDescent="0.2">
      <c r="B6" t="s">
        <v>718</v>
      </c>
      <c r="C6">
        <v>138</v>
      </c>
    </row>
    <row r="7" spans="1:3" x14ac:dyDescent="0.2">
      <c r="B7" t="s">
        <v>719</v>
      </c>
      <c r="C7">
        <v>182</v>
      </c>
    </row>
    <row r="8" spans="1:3" x14ac:dyDescent="0.2">
      <c r="B8" t="s">
        <v>720</v>
      </c>
      <c r="C8">
        <v>308</v>
      </c>
    </row>
    <row r="9" spans="1:3" x14ac:dyDescent="0.2">
      <c r="B9" t="s">
        <v>721</v>
      </c>
      <c r="C9">
        <v>168</v>
      </c>
    </row>
    <row r="11" spans="1:3" x14ac:dyDescent="0.2">
      <c r="B11" t="s">
        <v>706</v>
      </c>
      <c r="C11">
        <v>248</v>
      </c>
    </row>
    <row r="12" spans="1:3" x14ac:dyDescent="0.2">
      <c r="B12" t="s">
        <v>707</v>
      </c>
      <c r="C12">
        <v>292</v>
      </c>
    </row>
    <row r="13" spans="1:3" x14ac:dyDescent="0.2">
      <c r="B13" t="s">
        <v>708</v>
      </c>
      <c r="C13">
        <v>52</v>
      </c>
    </row>
    <row r="14" spans="1:3" x14ac:dyDescent="0.2">
      <c r="B14" t="s">
        <v>709</v>
      </c>
      <c r="C14">
        <v>48</v>
      </c>
    </row>
    <row r="15" spans="1:3" x14ac:dyDescent="0.2">
      <c r="B15" t="s">
        <v>710</v>
      </c>
      <c r="C15">
        <v>32</v>
      </c>
    </row>
    <row r="17" spans="1:5" x14ac:dyDescent="0.2">
      <c r="B17" t="s">
        <v>711</v>
      </c>
      <c r="C17">
        <v>2</v>
      </c>
    </row>
    <row r="18" spans="1:5" x14ac:dyDescent="0.2">
      <c r="B18" t="s">
        <v>712</v>
      </c>
      <c r="C18">
        <v>2</v>
      </c>
      <c r="D18" s="8">
        <f>SUM($C2:C$18)</f>
        <v>1876</v>
      </c>
      <c r="E18" s="16" t="str">
        <f>"0x"&amp;DEC2HEX(D18)</f>
        <v>0x754</v>
      </c>
    </row>
    <row r="21" spans="1:5" x14ac:dyDescent="0.2">
      <c r="A21" s="1" t="s">
        <v>722</v>
      </c>
    </row>
    <row r="22" spans="1:5" x14ac:dyDescent="0.2">
      <c r="A22" s="4"/>
      <c r="B22" t="s">
        <v>569</v>
      </c>
      <c r="C22">
        <v>72</v>
      </c>
    </row>
    <row r="23" spans="1:5" x14ac:dyDescent="0.2">
      <c r="B23" t="s">
        <v>570</v>
      </c>
    </row>
    <row r="24" spans="1:5" x14ac:dyDescent="0.2">
      <c r="B24" t="s">
        <v>723</v>
      </c>
      <c r="C24">
        <v>42</v>
      </c>
    </row>
    <row r="25" spans="1:5" x14ac:dyDescent="0.2">
      <c r="B25" t="s">
        <v>571</v>
      </c>
    </row>
    <row r="26" spans="1:5" x14ac:dyDescent="0.2">
      <c r="B26" t="s">
        <v>724</v>
      </c>
      <c r="C26">
        <v>42</v>
      </c>
      <c r="D26" s="8">
        <f>SUM($C22:C$26)</f>
        <v>156</v>
      </c>
      <c r="E26" s="16" t="str">
        <f>"0x"&amp;DEC2HEX(D26)</f>
        <v>0x9C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D9B7-4A16-0A45-944D-F81B8440B0B7}">
  <dimension ref="A1:D146"/>
  <sheetViews>
    <sheetView topLeftCell="A121" workbookViewId="0">
      <selection activeCell="A134" sqref="A134:XFD134"/>
    </sheetView>
  </sheetViews>
  <sheetFormatPr baseColWidth="10" defaultRowHeight="16" x14ac:dyDescent="0.2"/>
  <cols>
    <col min="1" max="1" width="61.33203125" customWidth="1"/>
    <col min="2" max="2" width="11.33203125" customWidth="1"/>
  </cols>
  <sheetData>
    <row r="1" spans="1:2" x14ac:dyDescent="0.2">
      <c r="A1" t="s">
        <v>725</v>
      </c>
      <c r="B1">
        <v>8</v>
      </c>
    </row>
    <row r="3" spans="1:2" x14ac:dyDescent="0.2">
      <c r="A3" t="s">
        <v>726</v>
      </c>
      <c r="B3">
        <v>50</v>
      </c>
    </row>
    <row r="5" spans="1:2" x14ac:dyDescent="0.2">
      <c r="A5" t="s">
        <v>728</v>
      </c>
    </row>
    <row r="6" spans="1:2" x14ac:dyDescent="0.2">
      <c r="A6" t="s">
        <v>727</v>
      </c>
    </row>
    <row r="7" spans="1:2" x14ac:dyDescent="0.2">
      <c r="A7" t="s">
        <v>729</v>
      </c>
      <c r="B7">
        <v>30</v>
      </c>
    </row>
    <row r="8" spans="1:2" x14ac:dyDescent="0.2">
      <c r="A8" t="s">
        <v>730</v>
      </c>
      <c r="B8">
        <v>138</v>
      </c>
    </row>
    <row r="9" spans="1:2" x14ac:dyDescent="0.2">
      <c r="A9" t="s">
        <v>731</v>
      </c>
      <c r="B9">
        <v>64</v>
      </c>
    </row>
    <row r="11" spans="1:2" x14ac:dyDescent="0.2">
      <c r="A11" t="s">
        <v>732</v>
      </c>
      <c r="B11">
        <v>2</v>
      </c>
    </row>
    <row r="12" spans="1:2" x14ac:dyDescent="0.2">
      <c r="A12" t="s">
        <v>733</v>
      </c>
      <c r="B12">
        <v>104</v>
      </c>
    </row>
    <row r="13" spans="1:2" x14ac:dyDescent="0.2">
      <c r="A13" t="s">
        <v>734</v>
      </c>
      <c r="B13">
        <v>52</v>
      </c>
    </row>
    <row r="15" spans="1:2" x14ac:dyDescent="0.2">
      <c r="A15" t="s">
        <v>2485</v>
      </c>
      <c r="B15">
        <v>172</v>
      </c>
    </row>
    <row r="16" spans="1:2" x14ac:dyDescent="0.2">
      <c r="A16" t="s">
        <v>736</v>
      </c>
      <c r="B16">
        <v>310</v>
      </c>
    </row>
    <row r="17" spans="1:2" x14ac:dyDescent="0.2">
      <c r="A17" t="s">
        <v>737</v>
      </c>
      <c r="B17">
        <v>248</v>
      </c>
    </row>
    <row r="18" spans="1:2" x14ac:dyDescent="0.2">
      <c r="A18" t="s">
        <v>735</v>
      </c>
      <c r="B18">
        <v>20</v>
      </c>
    </row>
    <row r="20" spans="1:2" x14ac:dyDescent="0.2">
      <c r="A20" t="s">
        <v>738</v>
      </c>
      <c r="B20">
        <v>2</v>
      </c>
    </row>
    <row r="21" spans="1:2" x14ac:dyDescent="0.2">
      <c r="A21" t="s">
        <v>739</v>
      </c>
      <c r="B21">
        <v>28</v>
      </c>
    </row>
    <row r="22" spans="1:2" x14ac:dyDescent="0.2">
      <c r="A22" t="s">
        <v>740</v>
      </c>
      <c r="B22">
        <v>2</v>
      </c>
    </row>
    <row r="23" spans="1:2" x14ac:dyDescent="0.2">
      <c r="A23" t="s">
        <v>741</v>
      </c>
      <c r="B23">
        <v>20</v>
      </c>
    </row>
    <row r="24" spans="1:2" x14ac:dyDescent="0.2">
      <c r="A24" t="s">
        <v>742</v>
      </c>
      <c r="B24">
        <v>138</v>
      </c>
    </row>
    <row r="25" spans="1:2" x14ac:dyDescent="0.2">
      <c r="A25" t="s">
        <v>743</v>
      </c>
      <c r="B25">
        <v>206</v>
      </c>
    </row>
    <row r="26" spans="1:2" x14ac:dyDescent="0.2">
      <c r="A26" t="s">
        <v>744</v>
      </c>
      <c r="B26">
        <v>200</v>
      </c>
    </row>
    <row r="27" spans="1:2" x14ac:dyDescent="0.2">
      <c r="A27" t="s">
        <v>745</v>
      </c>
      <c r="B27">
        <v>108</v>
      </c>
    </row>
    <row r="28" spans="1:2" x14ac:dyDescent="0.2">
      <c r="A28" t="s">
        <v>746</v>
      </c>
      <c r="B28">
        <v>70</v>
      </c>
    </row>
    <row r="30" spans="1:2" x14ac:dyDescent="0.2">
      <c r="A30" t="s">
        <v>747</v>
      </c>
      <c r="B30">
        <v>204</v>
      </c>
    </row>
    <row r="31" spans="1:2" x14ac:dyDescent="0.2">
      <c r="A31" t="s">
        <v>748</v>
      </c>
      <c r="B31">
        <v>174</v>
      </c>
    </row>
    <row r="32" spans="1:2" x14ac:dyDescent="0.2">
      <c r="A32" t="s">
        <v>748</v>
      </c>
      <c r="B32">
        <v>8</v>
      </c>
    </row>
    <row r="33" spans="1:2" x14ac:dyDescent="0.2">
      <c r="A33" t="s">
        <v>749</v>
      </c>
    </row>
    <row r="34" spans="1:2" x14ac:dyDescent="0.2">
      <c r="A34" t="s">
        <v>750</v>
      </c>
      <c r="B34">
        <v>14</v>
      </c>
    </row>
    <row r="35" spans="1:2" x14ac:dyDescent="0.2">
      <c r="A35" t="s">
        <v>2423</v>
      </c>
      <c r="B35">
        <v>180</v>
      </c>
    </row>
    <row r="36" spans="1:2" x14ac:dyDescent="0.2">
      <c r="A36" t="s">
        <v>751</v>
      </c>
      <c r="B36">
        <v>192</v>
      </c>
    </row>
    <row r="37" spans="1:2" x14ac:dyDescent="0.2">
      <c r="A37" t="s">
        <v>752</v>
      </c>
      <c r="B37">
        <v>108</v>
      </c>
    </row>
    <row r="38" spans="1:2" x14ac:dyDescent="0.2">
      <c r="A38" t="s">
        <v>2486</v>
      </c>
      <c r="B38">
        <v>368</v>
      </c>
    </row>
    <row r="39" spans="1:2" x14ac:dyDescent="0.2">
      <c r="A39" t="s">
        <v>753</v>
      </c>
    </row>
    <row r="40" spans="1:2" x14ac:dyDescent="0.2">
      <c r="A40" t="s">
        <v>754</v>
      </c>
      <c r="B40">
        <v>326</v>
      </c>
    </row>
    <row r="42" spans="1:2" x14ac:dyDescent="0.2">
      <c r="A42" t="s">
        <v>755</v>
      </c>
      <c r="B42">
        <v>20</v>
      </c>
    </row>
    <row r="43" spans="1:2" x14ac:dyDescent="0.2">
      <c r="A43" t="s">
        <v>756</v>
      </c>
      <c r="B43">
        <v>296</v>
      </c>
    </row>
    <row r="45" spans="1:2" x14ac:dyDescent="0.2">
      <c r="A45" t="s">
        <v>757</v>
      </c>
      <c r="B45">
        <v>428</v>
      </c>
    </row>
    <row r="46" spans="1:2" x14ac:dyDescent="0.2">
      <c r="A46" t="s">
        <v>2490</v>
      </c>
      <c r="B46">
        <v>98</v>
      </c>
    </row>
    <row r="48" spans="1:2" x14ac:dyDescent="0.2">
      <c r="A48" t="s">
        <v>758</v>
      </c>
      <c r="B48">
        <v>46</v>
      </c>
    </row>
    <row r="49" spans="1:2" x14ac:dyDescent="0.2">
      <c r="A49" t="s">
        <v>759</v>
      </c>
      <c r="B49">
        <v>16</v>
      </c>
    </row>
    <row r="50" spans="1:2" x14ac:dyDescent="0.2">
      <c r="A50" t="s">
        <v>760</v>
      </c>
      <c r="B50">
        <v>16</v>
      </c>
    </row>
    <row r="51" spans="1:2" x14ac:dyDescent="0.2">
      <c r="A51" t="s">
        <v>2424</v>
      </c>
    </row>
    <row r="52" spans="1:2" x14ac:dyDescent="0.2">
      <c r="A52" t="s">
        <v>761</v>
      </c>
      <c r="B52">
        <v>78</v>
      </c>
    </row>
    <row r="53" spans="1:2" x14ac:dyDescent="0.2">
      <c r="A53" t="s">
        <v>762</v>
      </c>
      <c r="B53">
        <v>58</v>
      </c>
    </row>
    <row r="54" spans="1:2" x14ac:dyDescent="0.2">
      <c r="A54" t="s">
        <v>763</v>
      </c>
      <c r="B54">
        <v>8</v>
      </c>
    </row>
    <row r="55" spans="1:2" x14ac:dyDescent="0.2">
      <c r="A55" t="s">
        <v>764</v>
      </c>
      <c r="B55">
        <v>66</v>
      </c>
    </row>
    <row r="56" spans="1:2" x14ac:dyDescent="0.2">
      <c r="A56" t="s">
        <v>765</v>
      </c>
      <c r="B56">
        <v>26</v>
      </c>
    </row>
    <row r="57" spans="1:2" x14ac:dyDescent="0.2">
      <c r="A57" t="s">
        <v>766</v>
      </c>
      <c r="B57">
        <v>34</v>
      </c>
    </row>
    <row r="58" spans="1:2" x14ac:dyDescent="0.2">
      <c r="A58" t="s">
        <v>767</v>
      </c>
      <c r="B58">
        <v>8</v>
      </c>
    </row>
    <row r="59" spans="1:2" x14ac:dyDescent="0.2">
      <c r="A59" t="s">
        <v>768</v>
      </c>
      <c r="B59">
        <v>38</v>
      </c>
    </row>
    <row r="60" spans="1:2" x14ac:dyDescent="0.2">
      <c r="A60" t="s">
        <v>769</v>
      </c>
      <c r="B60">
        <v>214</v>
      </c>
    </row>
    <row r="61" spans="1:2" x14ac:dyDescent="0.2">
      <c r="A61" t="s">
        <v>770</v>
      </c>
      <c r="B61">
        <v>10</v>
      </c>
    </row>
    <row r="62" spans="1:2" x14ac:dyDescent="0.2">
      <c r="A62" t="s">
        <v>2425</v>
      </c>
    </row>
    <row r="63" spans="1:2" x14ac:dyDescent="0.2">
      <c r="A63" t="s">
        <v>771</v>
      </c>
      <c r="B63">
        <v>76</v>
      </c>
    </row>
    <row r="64" spans="1:2" x14ac:dyDescent="0.2">
      <c r="A64" t="s">
        <v>772</v>
      </c>
      <c r="B64">
        <v>6</v>
      </c>
    </row>
    <row r="65" spans="1:2" x14ac:dyDescent="0.2">
      <c r="A65" t="s">
        <v>773</v>
      </c>
      <c r="B65">
        <v>46</v>
      </c>
    </row>
    <row r="66" spans="1:2" x14ac:dyDescent="0.2">
      <c r="A66" t="s">
        <v>774</v>
      </c>
    </row>
    <row r="67" spans="1:2" x14ac:dyDescent="0.2">
      <c r="A67" t="s">
        <v>775</v>
      </c>
      <c r="B67">
        <v>44</v>
      </c>
    </row>
    <row r="68" spans="1:2" x14ac:dyDescent="0.2">
      <c r="A68" t="s">
        <v>776</v>
      </c>
    </row>
    <row r="69" spans="1:2" x14ac:dyDescent="0.2">
      <c r="A69" t="s">
        <v>777</v>
      </c>
    </row>
    <row r="70" spans="1:2" x14ac:dyDescent="0.2">
      <c r="A70" t="s">
        <v>778</v>
      </c>
      <c r="B70">
        <v>44</v>
      </c>
    </row>
    <row r="71" spans="1:2" x14ac:dyDescent="0.2">
      <c r="A71" t="s">
        <v>779</v>
      </c>
      <c r="B71">
        <v>74</v>
      </c>
    </row>
    <row r="72" spans="1:2" x14ac:dyDescent="0.2">
      <c r="A72" t="s">
        <v>780</v>
      </c>
    </row>
    <row r="73" spans="1:2" x14ac:dyDescent="0.2">
      <c r="A73" t="s">
        <v>781</v>
      </c>
      <c r="B73">
        <v>74</v>
      </c>
    </row>
    <row r="74" spans="1:2" x14ac:dyDescent="0.2">
      <c r="A74" t="s">
        <v>782</v>
      </c>
    </row>
    <row r="75" spans="1:2" x14ac:dyDescent="0.2">
      <c r="A75" t="s">
        <v>829</v>
      </c>
      <c r="B75">
        <v>72</v>
      </c>
    </row>
    <row r="76" spans="1:2" x14ac:dyDescent="0.2">
      <c r="A76" t="s">
        <v>786</v>
      </c>
      <c r="B76">
        <v>30</v>
      </c>
    </row>
    <row r="77" spans="1:2" x14ac:dyDescent="0.2">
      <c r="A77" t="s">
        <v>787</v>
      </c>
      <c r="B77">
        <v>30</v>
      </c>
    </row>
    <row r="78" spans="1:2" x14ac:dyDescent="0.2">
      <c r="A78" t="s">
        <v>783</v>
      </c>
      <c r="B78">
        <v>160</v>
      </c>
    </row>
    <row r="79" spans="1:2" x14ac:dyDescent="0.2">
      <c r="A79" t="s">
        <v>784</v>
      </c>
      <c r="B79">
        <v>48</v>
      </c>
    </row>
    <row r="80" spans="1:2" x14ac:dyDescent="0.2">
      <c r="A80" t="s">
        <v>785</v>
      </c>
      <c r="B80">
        <v>4</v>
      </c>
    </row>
    <row r="81" spans="1:2" x14ac:dyDescent="0.2">
      <c r="A81" t="s">
        <v>789</v>
      </c>
      <c r="B81">
        <v>78</v>
      </c>
    </row>
    <row r="82" spans="1:2" x14ac:dyDescent="0.2">
      <c r="A82" t="s">
        <v>790</v>
      </c>
      <c r="B82">
        <v>4</v>
      </c>
    </row>
    <row r="83" spans="1:2" x14ac:dyDescent="0.2">
      <c r="A83" t="s">
        <v>791</v>
      </c>
      <c r="B83">
        <v>2</v>
      </c>
    </row>
    <row r="84" spans="1:2" x14ac:dyDescent="0.2">
      <c r="A84" t="s">
        <v>792</v>
      </c>
      <c r="B84">
        <v>4</v>
      </c>
    </row>
    <row r="85" spans="1:2" x14ac:dyDescent="0.2">
      <c r="A85" t="s">
        <v>793</v>
      </c>
      <c r="B85">
        <v>2</v>
      </c>
    </row>
    <row r="86" spans="1:2" x14ac:dyDescent="0.2">
      <c r="A86" t="s">
        <v>794</v>
      </c>
      <c r="B86">
        <v>4</v>
      </c>
    </row>
    <row r="87" spans="1:2" x14ac:dyDescent="0.2">
      <c r="A87" t="s">
        <v>795</v>
      </c>
      <c r="B87">
        <v>4</v>
      </c>
    </row>
    <row r="88" spans="1:2" x14ac:dyDescent="0.2">
      <c r="A88" t="s">
        <v>796</v>
      </c>
      <c r="B88">
        <v>4</v>
      </c>
    </row>
    <row r="89" spans="1:2" x14ac:dyDescent="0.2">
      <c r="A89" t="s">
        <v>797</v>
      </c>
      <c r="B89">
        <v>4</v>
      </c>
    </row>
    <row r="90" spans="1:2" x14ac:dyDescent="0.2">
      <c r="A90" t="s">
        <v>798</v>
      </c>
      <c r="B90">
        <v>4</v>
      </c>
    </row>
    <row r="91" spans="1:2" x14ac:dyDescent="0.2">
      <c r="A91" t="s">
        <v>799</v>
      </c>
      <c r="B91">
        <v>2</v>
      </c>
    </row>
    <row r="92" spans="1:2" x14ac:dyDescent="0.2">
      <c r="A92" t="s">
        <v>800</v>
      </c>
      <c r="B92">
        <v>4</v>
      </c>
    </row>
    <row r="93" spans="1:2" x14ac:dyDescent="0.2">
      <c r="A93" t="s">
        <v>801</v>
      </c>
      <c r="B93">
        <v>4</v>
      </c>
    </row>
    <row r="94" spans="1:2" x14ac:dyDescent="0.2">
      <c r="A94" t="s">
        <v>802</v>
      </c>
      <c r="B94">
        <v>8</v>
      </c>
    </row>
    <row r="95" spans="1:2" x14ac:dyDescent="0.2">
      <c r="A95" t="s">
        <v>803</v>
      </c>
      <c r="B95">
        <v>16</v>
      </c>
    </row>
    <row r="96" spans="1:2" x14ac:dyDescent="0.2">
      <c r="A96" t="s">
        <v>2432</v>
      </c>
    </row>
    <row r="97" spans="1:2" x14ac:dyDescent="0.2">
      <c r="A97" t="s">
        <v>804</v>
      </c>
      <c r="B97">
        <v>14</v>
      </c>
    </row>
    <row r="98" spans="1:2" x14ac:dyDescent="0.2">
      <c r="A98" t="s">
        <v>805</v>
      </c>
      <c r="B98">
        <v>558</v>
      </c>
    </row>
    <row r="99" spans="1:2" x14ac:dyDescent="0.2">
      <c r="A99" t="s">
        <v>806</v>
      </c>
      <c r="B99">
        <v>246</v>
      </c>
    </row>
    <row r="100" spans="1:2" x14ac:dyDescent="0.2">
      <c r="A100" t="s">
        <v>807</v>
      </c>
      <c r="B100">
        <v>8</v>
      </c>
    </row>
    <row r="101" spans="1:2" x14ac:dyDescent="0.2">
      <c r="A101" t="s">
        <v>808</v>
      </c>
      <c r="B101">
        <v>72</v>
      </c>
    </row>
    <row r="103" spans="1:2" x14ac:dyDescent="0.2">
      <c r="A103" t="s">
        <v>788</v>
      </c>
      <c r="B103">
        <v>40</v>
      </c>
    </row>
    <row r="104" spans="1:2" x14ac:dyDescent="0.2">
      <c r="A104" t="s">
        <v>2488</v>
      </c>
      <c r="B104">
        <v>8</v>
      </c>
    </row>
    <row r="105" spans="1:2" x14ac:dyDescent="0.2">
      <c r="A105" t="s">
        <v>1364</v>
      </c>
      <c r="B105">
        <v>292</v>
      </c>
    </row>
    <row r="106" spans="1:2" x14ac:dyDescent="0.2">
      <c r="A106" t="s">
        <v>1856</v>
      </c>
      <c r="B106">
        <v>142</v>
      </c>
    </row>
    <row r="108" spans="1:2" x14ac:dyDescent="0.2">
      <c r="A108" t="s">
        <v>809</v>
      </c>
      <c r="B108">
        <v>214</v>
      </c>
    </row>
    <row r="109" spans="1:2" x14ac:dyDescent="0.2">
      <c r="A109" t="s">
        <v>810</v>
      </c>
      <c r="B109">
        <v>318</v>
      </c>
    </row>
    <row r="110" spans="1:2" x14ac:dyDescent="0.2">
      <c r="A110" t="s">
        <v>811</v>
      </c>
      <c r="B110">
        <v>338</v>
      </c>
    </row>
    <row r="111" spans="1:2" x14ac:dyDescent="0.2">
      <c r="A111" t="s">
        <v>812</v>
      </c>
      <c r="B111">
        <v>278</v>
      </c>
    </row>
    <row r="112" spans="1:2" x14ac:dyDescent="0.2">
      <c r="A112" t="s">
        <v>813</v>
      </c>
      <c r="B112">
        <v>396</v>
      </c>
    </row>
    <row r="114" spans="1:2" x14ac:dyDescent="0.2">
      <c r="A114" t="s">
        <v>814</v>
      </c>
      <c r="B114">
        <v>324</v>
      </c>
    </row>
    <row r="115" spans="1:2" x14ac:dyDescent="0.2">
      <c r="A115" t="s">
        <v>815</v>
      </c>
      <c r="B115">
        <v>18</v>
      </c>
    </row>
    <row r="117" spans="1:2" x14ac:dyDescent="0.2">
      <c r="A117" t="s">
        <v>816</v>
      </c>
      <c r="B117">
        <v>478</v>
      </c>
    </row>
    <row r="118" spans="1:2" x14ac:dyDescent="0.2">
      <c r="A118" t="s">
        <v>2427</v>
      </c>
    </row>
    <row r="119" spans="1:2" x14ac:dyDescent="0.2">
      <c r="A119" t="s">
        <v>2426</v>
      </c>
      <c r="B119">
        <v>768</v>
      </c>
    </row>
    <row r="120" spans="1:2" x14ac:dyDescent="0.2">
      <c r="A120" t="s">
        <v>2428</v>
      </c>
    </row>
    <row r="121" spans="1:2" x14ac:dyDescent="0.2">
      <c r="A121" t="s">
        <v>2426</v>
      </c>
      <c r="B121">
        <v>736</v>
      </c>
    </row>
    <row r="122" spans="1:2" x14ac:dyDescent="0.2">
      <c r="A122" t="s">
        <v>817</v>
      </c>
    </row>
    <row r="123" spans="1:2" x14ac:dyDescent="0.2">
      <c r="A123" t="s">
        <v>2429</v>
      </c>
      <c r="B123">
        <v>714</v>
      </c>
    </row>
    <row r="124" spans="1:2" x14ac:dyDescent="0.2">
      <c r="A124" t="s">
        <v>817</v>
      </c>
    </row>
    <row r="125" spans="1:2" x14ac:dyDescent="0.2">
      <c r="A125" t="s">
        <v>2430</v>
      </c>
      <c r="B125">
        <v>232</v>
      </c>
    </row>
    <row r="126" spans="1:2" x14ac:dyDescent="0.2">
      <c r="A126" t="s">
        <v>817</v>
      </c>
    </row>
    <row r="127" spans="1:2" x14ac:dyDescent="0.2">
      <c r="A127" t="s">
        <v>2431</v>
      </c>
      <c r="B127">
        <v>360</v>
      </c>
    </row>
    <row r="128" spans="1:2" x14ac:dyDescent="0.2">
      <c r="A128" t="s">
        <v>817</v>
      </c>
    </row>
    <row r="129" spans="1:2" x14ac:dyDescent="0.2">
      <c r="A129" t="s">
        <v>818</v>
      </c>
      <c r="B129">
        <v>212</v>
      </c>
    </row>
    <row r="130" spans="1:2" x14ac:dyDescent="0.2">
      <c r="A130" t="s">
        <v>2441</v>
      </c>
    </row>
    <row r="131" spans="1:2" x14ac:dyDescent="0.2">
      <c r="A131" t="s">
        <v>819</v>
      </c>
      <c r="B131">
        <v>196</v>
      </c>
    </row>
    <row r="132" spans="1:2" x14ac:dyDescent="0.2">
      <c r="A132" t="s">
        <v>820</v>
      </c>
      <c r="B132">
        <v>42</v>
      </c>
    </row>
    <row r="133" spans="1:2" x14ac:dyDescent="0.2">
      <c r="A133" t="s">
        <v>821</v>
      </c>
      <c r="B133">
        <v>154</v>
      </c>
    </row>
    <row r="134" spans="1:2" x14ac:dyDescent="0.2">
      <c r="A134" t="s">
        <v>822</v>
      </c>
      <c r="B134">
        <v>1192</v>
      </c>
    </row>
    <row r="135" spans="1:2" x14ac:dyDescent="0.2">
      <c r="A135" t="s">
        <v>2489</v>
      </c>
      <c r="B135">
        <v>10</v>
      </c>
    </row>
    <row r="137" spans="1:2" x14ac:dyDescent="0.2">
      <c r="A137" t="s">
        <v>823</v>
      </c>
    </row>
    <row r="138" spans="1:2" x14ac:dyDescent="0.2">
      <c r="A138" t="s">
        <v>824</v>
      </c>
      <c r="B138">
        <v>22</v>
      </c>
    </row>
    <row r="140" spans="1:2" x14ac:dyDescent="0.2">
      <c r="A140" t="s">
        <v>2484</v>
      </c>
      <c r="B140">
        <v>146</v>
      </c>
    </row>
    <row r="142" spans="1:2" x14ac:dyDescent="0.2">
      <c r="A142" t="s">
        <v>825</v>
      </c>
      <c r="B142">
        <v>50</v>
      </c>
    </row>
    <row r="144" spans="1:2" x14ac:dyDescent="0.2">
      <c r="A144" t="s">
        <v>826</v>
      </c>
    </row>
    <row r="145" spans="1:4" x14ac:dyDescent="0.2">
      <c r="A145" t="s">
        <v>827</v>
      </c>
    </row>
    <row r="146" spans="1:4" x14ac:dyDescent="0.2">
      <c r="A146" t="s">
        <v>828</v>
      </c>
      <c r="B146">
        <v>2</v>
      </c>
      <c r="C146" s="8">
        <f>SUM(B$1:$B146)</f>
        <v>14438</v>
      </c>
      <c r="D146" s="9" t="str">
        <f>"0x"&amp;DEC2HEX(C146)</f>
        <v>0x3866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F512-B715-BB46-B424-EEFF7AB849A8}">
  <dimension ref="A1:E18"/>
  <sheetViews>
    <sheetView workbookViewId="0">
      <selection activeCell="D18" sqref="D18:E18"/>
    </sheetView>
  </sheetViews>
  <sheetFormatPr baseColWidth="10" defaultRowHeight="16" x14ac:dyDescent="0.2"/>
  <cols>
    <col min="2" max="2" width="26" customWidth="1"/>
  </cols>
  <sheetData>
    <row r="1" spans="1:5" x14ac:dyDescent="0.2">
      <c r="A1" t="s">
        <v>616</v>
      </c>
    </row>
    <row r="2" spans="1:5" x14ac:dyDescent="0.2">
      <c r="B2" t="s">
        <v>830</v>
      </c>
      <c r="C2">
        <v>164</v>
      </c>
    </row>
    <row r="3" spans="1:5" x14ac:dyDescent="0.2">
      <c r="B3" t="s">
        <v>831</v>
      </c>
      <c r="C3">
        <v>92</v>
      </c>
    </row>
    <row r="4" spans="1:5" x14ac:dyDescent="0.2">
      <c r="B4" t="s">
        <v>832</v>
      </c>
      <c r="C4">
        <v>48</v>
      </c>
    </row>
    <row r="5" spans="1:5" x14ac:dyDescent="0.2">
      <c r="B5" t="s">
        <v>833</v>
      </c>
      <c r="C5">
        <v>64</v>
      </c>
      <c r="D5" s="8">
        <f>SUM($B$1:C5)</f>
        <v>368</v>
      </c>
      <c r="E5" s="9" t="str">
        <f>"0x"&amp;DEC2HEX(D5)</f>
        <v>0x170</v>
      </c>
    </row>
    <row r="8" spans="1:5" x14ac:dyDescent="0.2">
      <c r="A8" t="s">
        <v>617</v>
      </c>
    </row>
    <row r="9" spans="1:5" x14ac:dyDescent="0.2">
      <c r="B9" t="s">
        <v>834</v>
      </c>
      <c r="C9">
        <v>12</v>
      </c>
    </row>
    <row r="10" spans="1:5" x14ac:dyDescent="0.2">
      <c r="B10" t="s">
        <v>835</v>
      </c>
      <c r="C10">
        <v>2</v>
      </c>
    </row>
    <row r="11" spans="1:5" x14ac:dyDescent="0.2">
      <c r="B11" t="s">
        <v>836</v>
      </c>
      <c r="C11">
        <v>180</v>
      </c>
    </row>
    <row r="12" spans="1:5" x14ac:dyDescent="0.2">
      <c r="B12" t="s">
        <v>837</v>
      </c>
      <c r="C12">
        <v>332</v>
      </c>
    </row>
    <row r="13" spans="1:5" x14ac:dyDescent="0.2">
      <c r="B13" t="s">
        <v>838</v>
      </c>
      <c r="C13">
        <v>132</v>
      </c>
    </row>
    <row r="14" spans="1:5" x14ac:dyDescent="0.2">
      <c r="B14" t="s">
        <v>839</v>
      </c>
      <c r="C14">
        <v>240</v>
      </c>
    </row>
    <row r="15" spans="1:5" x14ac:dyDescent="0.2">
      <c r="B15" t="s">
        <v>840</v>
      </c>
      <c r="C15">
        <v>1168</v>
      </c>
    </row>
    <row r="16" spans="1:5" x14ac:dyDescent="0.2">
      <c r="B16" t="s">
        <v>841</v>
      </c>
      <c r="C16">
        <v>1028</v>
      </c>
    </row>
    <row r="17" spans="2:5" x14ac:dyDescent="0.2">
      <c r="B17" t="s">
        <v>842</v>
      </c>
      <c r="C17">
        <v>1508</v>
      </c>
    </row>
    <row r="18" spans="2:5" x14ac:dyDescent="0.2">
      <c r="B18" t="s">
        <v>843</v>
      </c>
      <c r="C18">
        <v>42</v>
      </c>
      <c r="D18" s="8">
        <f>SUM($B$9:C18)</f>
        <v>4644</v>
      </c>
      <c r="E18" s="9" t="str">
        <f>"0x"&amp;DEC2HEX(D18)</f>
        <v>0x1224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A61D-6463-6440-A81D-DA3A160631CD}">
  <dimension ref="A1:F356"/>
  <sheetViews>
    <sheetView topLeftCell="A329" workbookViewId="0">
      <selection activeCell="E356" sqref="E356:F356"/>
    </sheetView>
  </sheetViews>
  <sheetFormatPr baseColWidth="10" defaultRowHeight="16" x14ac:dyDescent="0.2"/>
  <cols>
    <col min="1" max="1" width="17.83203125" customWidth="1"/>
    <col min="2" max="2" width="42.83203125" customWidth="1"/>
    <col min="4" max="4" width="18" style="10" customWidth="1"/>
    <col min="5" max="5" width="10.83203125" style="4"/>
  </cols>
  <sheetData>
    <row r="1" spans="1:4" x14ac:dyDescent="0.2">
      <c r="A1" t="s">
        <v>68</v>
      </c>
      <c r="D1" s="9">
        <v>42016910</v>
      </c>
    </row>
    <row r="2" spans="1:4" x14ac:dyDescent="0.2">
      <c r="B2" t="s">
        <v>844</v>
      </c>
      <c r="C2">
        <v>34</v>
      </c>
      <c r="D2" s="11" t="str">
        <f>"0x"&amp;DEC2HEX(HEX2DEC(D$1)+SUM($C$2:C2))</f>
        <v>0x42016932</v>
      </c>
    </row>
    <row r="3" spans="1:4" x14ac:dyDescent="0.2">
      <c r="B3" t="s">
        <v>845</v>
      </c>
      <c r="C3">
        <v>34</v>
      </c>
      <c r="D3" s="11" t="str">
        <f>"0x"&amp;DEC2HEX(HEX2DEC(D$1)+SUM($C$2:C3))</f>
        <v>0x42016954</v>
      </c>
    </row>
    <row r="4" spans="1:4" x14ac:dyDescent="0.2">
      <c r="B4" t="s">
        <v>846</v>
      </c>
      <c r="C4">
        <v>34</v>
      </c>
      <c r="D4" s="11" t="str">
        <f>"0x"&amp;DEC2HEX(HEX2DEC(D$1)+SUM($C$2:C4))</f>
        <v>0x42016976</v>
      </c>
    </row>
    <row r="5" spans="1:4" x14ac:dyDescent="0.2">
      <c r="B5" t="s">
        <v>847</v>
      </c>
      <c r="C5">
        <v>110</v>
      </c>
      <c r="D5" s="11" t="str">
        <f>"0x"&amp;DEC2HEX(HEX2DEC(D$1)+SUM($C$2:C5))</f>
        <v>0x420169E4</v>
      </c>
    </row>
    <row r="6" spans="1:4" x14ac:dyDescent="0.2">
      <c r="B6" t="s">
        <v>848</v>
      </c>
      <c r="C6">
        <v>182</v>
      </c>
      <c r="D6" s="11" t="str">
        <f>"0x"&amp;DEC2HEX(HEX2DEC(D$1)+SUM($C$2:C6))</f>
        <v>0x42016A9A</v>
      </c>
    </row>
    <row r="7" spans="1:4" x14ac:dyDescent="0.2">
      <c r="B7" t="s">
        <v>849</v>
      </c>
      <c r="C7">
        <v>32</v>
      </c>
      <c r="D7" s="11" t="str">
        <f>"0x"&amp;DEC2HEX(HEX2DEC(D$1)+SUM($C$2:C7))</f>
        <v>0x42016ABA</v>
      </c>
    </row>
    <row r="8" spans="1:4" x14ac:dyDescent="0.2">
      <c r="B8" t="s">
        <v>850</v>
      </c>
      <c r="C8">
        <v>504</v>
      </c>
      <c r="D8" s="11" t="str">
        <f>"0x"&amp;DEC2HEX(HEX2DEC(D$1)+SUM($C$2:C8))</f>
        <v>0x42016CB2</v>
      </c>
    </row>
    <row r="9" spans="1:4" x14ac:dyDescent="0.2">
      <c r="A9" t="s">
        <v>851</v>
      </c>
      <c r="D9" s="11"/>
    </row>
    <row r="10" spans="1:4" x14ac:dyDescent="0.2">
      <c r="A10" t="s">
        <v>92</v>
      </c>
      <c r="D10" s="11"/>
    </row>
    <row r="11" spans="1:4" x14ac:dyDescent="0.2">
      <c r="B11" t="s">
        <v>852</v>
      </c>
      <c r="C11">
        <v>18</v>
      </c>
      <c r="D11" s="11" t="str">
        <f>"0x"&amp;DEC2HEX(HEX2DEC(D$1)+SUM($C$2:C11))</f>
        <v>0x42016CC4</v>
      </c>
    </row>
    <row r="12" spans="1:4" x14ac:dyDescent="0.2">
      <c r="B12" t="s">
        <v>853</v>
      </c>
      <c r="C12">
        <v>22</v>
      </c>
      <c r="D12" s="11" t="str">
        <f>"0x"&amp;DEC2HEX(HEX2DEC(D$1)+SUM($C$2:C12))</f>
        <v>0x42016CDA</v>
      </c>
    </row>
    <row r="13" spans="1:4" x14ac:dyDescent="0.2">
      <c r="B13" t="s">
        <v>854</v>
      </c>
      <c r="C13">
        <v>28</v>
      </c>
      <c r="D13" s="11" t="str">
        <f>"0x"&amp;DEC2HEX(HEX2DEC(D$1)+SUM($C$2:C13))</f>
        <v>0x42016CF6</v>
      </c>
    </row>
    <row r="14" spans="1:4" x14ac:dyDescent="0.2">
      <c r="B14" t="s">
        <v>855</v>
      </c>
      <c r="C14">
        <v>64</v>
      </c>
      <c r="D14" s="11" t="str">
        <f>"0x"&amp;DEC2HEX(HEX2DEC(D$1)+SUM($C$2:C14))</f>
        <v>0x42016D36</v>
      </c>
    </row>
    <row r="15" spans="1:4" x14ac:dyDescent="0.2">
      <c r="B15" t="s">
        <v>856</v>
      </c>
      <c r="C15">
        <v>94</v>
      </c>
      <c r="D15" s="11" t="str">
        <f>"0x"&amp;DEC2HEX(HEX2DEC(D$1)+SUM($C$2:C15))</f>
        <v>0x42016D94</v>
      </c>
    </row>
    <row r="16" spans="1:4" x14ac:dyDescent="0.2">
      <c r="B16" t="s">
        <v>857</v>
      </c>
      <c r="C16">
        <v>132</v>
      </c>
      <c r="D16" s="11" t="str">
        <f>"0x"&amp;DEC2HEX(HEX2DEC(D$1)+SUM($C$2:C16))</f>
        <v>0x42016E18</v>
      </c>
    </row>
    <row r="17" spans="2:4" x14ac:dyDescent="0.2">
      <c r="B17" t="s">
        <v>858</v>
      </c>
      <c r="C17">
        <v>10</v>
      </c>
      <c r="D17" s="11" t="str">
        <f>"0x"&amp;DEC2HEX(HEX2DEC(D$1)+SUM($C$2:C17))</f>
        <v>0x42016E22</v>
      </c>
    </row>
    <row r="18" spans="2:4" x14ac:dyDescent="0.2">
      <c r="B18" t="s">
        <v>859</v>
      </c>
      <c r="C18">
        <v>4</v>
      </c>
      <c r="D18" s="11" t="str">
        <f>"0x"&amp;DEC2HEX(HEX2DEC(D$1)+SUM($C$2:C18))</f>
        <v>0x42016E26</v>
      </c>
    </row>
    <row r="19" spans="2:4" x14ac:dyDescent="0.2">
      <c r="B19" t="s">
        <v>860</v>
      </c>
      <c r="C19">
        <v>4</v>
      </c>
      <c r="D19" s="11" t="str">
        <f>"0x"&amp;DEC2HEX(HEX2DEC(D$1)+SUM($C$2:C19))</f>
        <v>0x42016E2A</v>
      </c>
    </row>
    <row r="20" spans="2:4" x14ac:dyDescent="0.2">
      <c r="B20" t="s">
        <v>861</v>
      </c>
      <c r="C20">
        <v>4</v>
      </c>
      <c r="D20" s="11" t="str">
        <f>"0x"&amp;DEC2HEX(HEX2DEC(D$1)+SUM($C$2:C20))</f>
        <v>0x42016E2E</v>
      </c>
    </row>
    <row r="21" spans="2:4" x14ac:dyDescent="0.2">
      <c r="B21" t="s">
        <v>862</v>
      </c>
      <c r="C21">
        <v>4</v>
      </c>
      <c r="D21" s="11" t="str">
        <f>"0x"&amp;DEC2HEX(HEX2DEC(D$1)+SUM($C$2:C21))</f>
        <v>0x42016E32</v>
      </c>
    </row>
    <row r="22" spans="2:4" x14ac:dyDescent="0.2">
      <c r="B22" t="s">
        <v>863</v>
      </c>
      <c r="C22">
        <v>4</v>
      </c>
      <c r="D22" s="11" t="str">
        <f>"0x"&amp;DEC2HEX(HEX2DEC(D$1)+SUM($C$2:C22))</f>
        <v>0x42016E36</v>
      </c>
    </row>
    <row r="23" spans="2:4" x14ac:dyDescent="0.2">
      <c r="B23" t="s">
        <v>864</v>
      </c>
      <c r="C23">
        <v>22</v>
      </c>
      <c r="D23" s="11" t="str">
        <f>"0x"&amp;DEC2HEX(HEX2DEC(D$1)+SUM($C$2:C23))</f>
        <v>0x42016E4C</v>
      </c>
    </row>
    <row r="24" spans="2:4" x14ac:dyDescent="0.2">
      <c r="B24" t="s">
        <v>865</v>
      </c>
      <c r="C24">
        <v>4</v>
      </c>
      <c r="D24" s="11" t="str">
        <f>"0x"&amp;DEC2HEX(HEX2DEC(D$1)+SUM($C$2:C24))</f>
        <v>0x42016E50</v>
      </c>
    </row>
    <row r="25" spans="2:4" x14ac:dyDescent="0.2">
      <c r="B25" t="s">
        <v>866</v>
      </c>
      <c r="C25">
        <v>22</v>
      </c>
      <c r="D25" s="11" t="str">
        <f>"0x"&amp;DEC2HEX(HEX2DEC(D$1)+SUM($C$2:C25))</f>
        <v>0x42016E66</v>
      </c>
    </row>
    <row r="26" spans="2:4" x14ac:dyDescent="0.2">
      <c r="B26" t="s">
        <v>867</v>
      </c>
      <c r="C26">
        <v>8</v>
      </c>
      <c r="D26" s="11" t="str">
        <f>"0x"&amp;DEC2HEX(HEX2DEC(D$1)+SUM($C$2:C26))</f>
        <v>0x42016E6E</v>
      </c>
    </row>
    <row r="27" spans="2:4" x14ac:dyDescent="0.2">
      <c r="B27" t="s">
        <v>868</v>
      </c>
      <c r="C27">
        <v>8</v>
      </c>
      <c r="D27" s="11" t="str">
        <f>"0x"&amp;DEC2HEX(HEX2DEC(D$1)+SUM($C$2:C27))</f>
        <v>0x42016E76</v>
      </c>
    </row>
    <row r="28" spans="2:4" x14ac:dyDescent="0.2">
      <c r="B28" t="s">
        <v>869</v>
      </c>
      <c r="C28">
        <v>4</v>
      </c>
      <c r="D28" s="11" t="str">
        <f>"0x"&amp;DEC2HEX(HEX2DEC(D$1)+SUM($C$2:C28))</f>
        <v>0x42016E7A</v>
      </c>
    </row>
    <row r="29" spans="2:4" x14ac:dyDescent="0.2">
      <c r="B29" t="s">
        <v>870</v>
      </c>
      <c r="C29">
        <v>6</v>
      </c>
      <c r="D29" s="11" t="str">
        <f>"0x"&amp;DEC2HEX(HEX2DEC(D$1)+SUM($C$2:C29))</f>
        <v>0x42016E80</v>
      </c>
    </row>
    <row r="30" spans="2:4" x14ac:dyDescent="0.2">
      <c r="B30" t="s">
        <v>871</v>
      </c>
      <c r="C30">
        <v>6</v>
      </c>
      <c r="D30" s="11" t="str">
        <f>"0x"&amp;DEC2HEX(HEX2DEC(D$1)+SUM($C$2:C30))</f>
        <v>0x42016E86</v>
      </c>
    </row>
    <row r="31" spans="2:4" x14ac:dyDescent="0.2">
      <c r="B31" t="s">
        <v>872</v>
      </c>
      <c r="C31">
        <v>468</v>
      </c>
      <c r="D31" s="11" t="str">
        <f>"0x"&amp;DEC2HEX(HEX2DEC(D$1)+SUM($C$2:C31))</f>
        <v>0x4201705A</v>
      </c>
    </row>
    <row r="32" spans="2:4" x14ac:dyDescent="0.2">
      <c r="B32" t="s">
        <v>873</v>
      </c>
      <c r="C32">
        <v>4</v>
      </c>
      <c r="D32" s="11" t="str">
        <f>"0x"&amp;DEC2HEX(HEX2DEC(D$1)+SUM($C$2:C32))</f>
        <v>0x4201705E</v>
      </c>
    </row>
    <row r="33" spans="2:4" x14ac:dyDescent="0.2">
      <c r="B33" t="s">
        <v>874</v>
      </c>
      <c r="C33">
        <v>4</v>
      </c>
      <c r="D33" s="11" t="str">
        <f>"0x"&amp;DEC2HEX(HEX2DEC(D$1)+SUM($C$2:C33))</f>
        <v>0x42017062</v>
      </c>
    </row>
    <row r="34" spans="2:4" x14ac:dyDescent="0.2">
      <c r="B34" t="s">
        <v>875</v>
      </c>
      <c r="C34">
        <v>10</v>
      </c>
      <c r="D34" s="11" t="str">
        <f>"0x"&amp;DEC2HEX(HEX2DEC(D$1)+SUM($C$2:C34))</f>
        <v>0x4201706C</v>
      </c>
    </row>
    <row r="35" spans="2:4" x14ac:dyDescent="0.2">
      <c r="B35" t="s">
        <v>876</v>
      </c>
      <c r="C35">
        <v>4</v>
      </c>
      <c r="D35" s="11" t="str">
        <f>"0x"&amp;DEC2HEX(HEX2DEC(D$1)+SUM($C$2:C35))</f>
        <v>0x42017070</v>
      </c>
    </row>
    <row r="36" spans="2:4" x14ac:dyDescent="0.2">
      <c r="B36" t="s">
        <v>877</v>
      </c>
      <c r="C36">
        <v>4</v>
      </c>
      <c r="D36" s="11" t="str">
        <f>"0x"&amp;DEC2HEX(HEX2DEC(D$1)+SUM($C$2:C36))</f>
        <v>0x42017074</v>
      </c>
    </row>
    <row r="37" spans="2:4" x14ac:dyDescent="0.2">
      <c r="B37" t="s">
        <v>878</v>
      </c>
      <c r="C37">
        <v>4</v>
      </c>
      <c r="D37" s="11" t="str">
        <f>"0x"&amp;DEC2HEX(HEX2DEC(D$1)+SUM($C$2:C37))</f>
        <v>0x42017078</v>
      </c>
    </row>
    <row r="38" spans="2:4" x14ac:dyDescent="0.2">
      <c r="B38" t="s">
        <v>879</v>
      </c>
      <c r="C38">
        <v>2</v>
      </c>
      <c r="D38" s="11" t="str">
        <f>"0x"&amp;DEC2HEX(HEX2DEC(D$1)+SUM($C$2:C38))</f>
        <v>0x4201707A</v>
      </c>
    </row>
    <row r="39" spans="2:4" x14ac:dyDescent="0.2">
      <c r="B39" t="s">
        <v>880</v>
      </c>
      <c r="C39">
        <v>42</v>
      </c>
      <c r="D39" s="11" t="str">
        <f>"0x"&amp;DEC2HEX(HEX2DEC(D$1)+SUM($C$2:C39))</f>
        <v>0x420170A4</v>
      </c>
    </row>
    <row r="40" spans="2:4" x14ac:dyDescent="0.2">
      <c r="B40" t="s">
        <v>881</v>
      </c>
      <c r="C40">
        <v>228</v>
      </c>
      <c r="D40" s="11" t="str">
        <f>"0x"&amp;DEC2HEX(HEX2DEC(D$1)+SUM($C$2:C40))</f>
        <v>0x42017188</v>
      </c>
    </row>
    <row r="41" spans="2:4" x14ac:dyDescent="0.2">
      <c r="B41" t="s">
        <v>882</v>
      </c>
      <c r="C41">
        <v>28</v>
      </c>
      <c r="D41" s="11" t="str">
        <f>"0x"&amp;DEC2HEX(HEX2DEC(D$1)+SUM($C$2:C41))</f>
        <v>0x420171A4</v>
      </c>
    </row>
    <row r="42" spans="2:4" x14ac:dyDescent="0.2">
      <c r="B42" t="s">
        <v>883</v>
      </c>
      <c r="C42">
        <v>120</v>
      </c>
      <c r="D42" s="11" t="str">
        <f>"0x"&amp;DEC2HEX(HEX2DEC(D$1)+SUM($C$2:C42))</f>
        <v>0x4201721C</v>
      </c>
    </row>
    <row r="43" spans="2:4" x14ac:dyDescent="0.2">
      <c r="B43" t="s">
        <v>884</v>
      </c>
      <c r="C43">
        <v>96</v>
      </c>
      <c r="D43" s="11" t="str">
        <f>"0x"&amp;DEC2HEX(HEX2DEC(D$1)+SUM($C$2:C43))</f>
        <v>0x4201727C</v>
      </c>
    </row>
    <row r="44" spans="2:4" x14ac:dyDescent="0.2">
      <c r="B44" t="s">
        <v>885</v>
      </c>
      <c r="C44">
        <v>68</v>
      </c>
      <c r="D44" s="11" t="str">
        <f>"0x"&amp;DEC2HEX(HEX2DEC(D$1)+SUM($C$2:C44))</f>
        <v>0x420172C0</v>
      </c>
    </row>
    <row r="45" spans="2:4" x14ac:dyDescent="0.2">
      <c r="B45" t="s">
        <v>886</v>
      </c>
      <c r="C45">
        <v>20</v>
      </c>
      <c r="D45" s="11" t="str">
        <f>"0x"&amp;DEC2HEX(HEX2DEC(D$1)+SUM($C$2:C45))</f>
        <v>0x420172D4</v>
      </c>
    </row>
    <row r="46" spans="2:4" x14ac:dyDescent="0.2">
      <c r="B46" t="s">
        <v>887</v>
      </c>
      <c r="C46">
        <v>24</v>
      </c>
      <c r="D46" s="11" t="str">
        <f>"0x"&amp;DEC2HEX(HEX2DEC(D$1)+SUM($C$2:C46))</f>
        <v>0x420172EC</v>
      </c>
    </row>
    <row r="47" spans="2:4" x14ac:dyDescent="0.2">
      <c r="B47" t="s">
        <v>888</v>
      </c>
      <c r="C47">
        <v>4</v>
      </c>
      <c r="D47" s="11" t="str">
        <f>"0x"&amp;DEC2HEX(HEX2DEC(D$1)+SUM($C$2:C47))</f>
        <v>0x420172F0</v>
      </c>
    </row>
    <row r="48" spans="2:4" x14ac:dyDescent="0.2">
      <c r="B48" t="s">
        <v>889</v>
      </c>
      <c r="C48">
        <v>4</v>
      </c>
      <c r="D48" s="11" t="str">
        <f>"0x"&amp;DEC2HEX(HEX2DEC(D$1)+SUM($C$2:C48))</f>
        <v>0x420172F4</v>
      </c>
    </row>
    <row r="49" spans="2:4" x14ac:dyDescent="0.2">
      <c r="B49" t="s">
        <v>890</v>
      </c>
      <c r="C49">
        <v>4</v>
      </c>
      <c r="D49" s="11" t="str">
        <f>"0x"&amp;DEC2HEX(HEX2DEC(D$1)+SUM($C$2:C49))</f>
        <v>0x420172F8</v>
      </c>
    </row>
    <row r="50" spans="2:4" x14ac:dyDescent="0.2">
      <c r="B50" t="s">
        <v>891</v>
      </c>
      <c r="C50">
        <v>8</v>
      </c>
      <c r="D50" s="11" t="str">
        <f>"0x"&amp;DEC2HEX(HEX2DEC(D$1)+SUM($C$2:C50))</f>
        <v>0x42017300</v>
      </c>
    </row>
    <row r="51" spans="2:4" x14ac:dyDescent="0.2">
      <c r="B51" t="s">
        <v>892</v>
      </c>
      <c r="C51">
        <v>8</v>
      </c>
      <c r="D51" s="11" t="str">
        <f>"0x"&amp;DEC2HEX(HEX2DEC(D$1)+SUM($C$2:C51))</f>
        <v>0x42017308</v>
      </c>
    </row>
    <row r="52" spans="2:4" x14ac:dyDescent="0.2">
      <c r="B52" t="s">
        <v>893</v>
      </c>
      <c r="C52">
        <v>4</v>
      </c>
      <c r="D52" s="11" t="str">
        <f>"0x"&amp;DEC2HEX(HEX2DEC(D$1)+SUM($C$2:C52))</f>
        <v>0x4201730C</v>
      </c>
    </row>
    <row r="53" spans="2:4" x14ac:dyDescent="0.2">
      <c r="B53" t="s">
        <v>894</v>
      </c>
      <c r="C53">
        <v>26</v>
      </c>
      <c r="D53" s="11" t="str">
        <f>"0x"&amp;DEC2HEX(HEX2DEC(D$1)+SUM($C$2:C53))</f>
        <v>0x42017326</v>
      </c>
    </row>
    <row r="54" spans="2:4" x14ac:dyDescent="0.2">
      <c r="B54" t="s">
        <v>895</v>
      </c>
      <c r="C54">
        <v>16</v>
      </c>
      <c r="D54" s="11" t="str">
        <f>"0x"&amp;DEC2HEX(HEX2DEC(D$1)+SUM($C$2:C54))</f>
        <v>0x42017336</v>
      </c>
    </row>
    <row r="55" spans="2:4" x14ac:dyDescent="0.2">
      <c r="B55" t="s">
        <v>896</v>
      </c>
      <c r="C55">
        <v>4</v>
      </c>
      <c r="D55" s="11" t="str">
        <f>"0x"&amp;DEC2HEX(HEX2DEC(D$1)+SUM($C$2:C55))</f>
        <v>0x4201733A</v>
      </c>
    </row>
    <row r="56" spans="2:4" x14ac:dyDescent="0.2">
      <c r="B56" t="s">
        <v>897</v>
      </c>
      <c r="C56">
        <v>4</v>
      </c>
      <c r="D56" s="11" t="str">
        <f>"0x"&amp;DEC2HEX(HEX2DEC(D$1)+SUM($C$2:C56))</f>
        <v>0x4201733E</v>
      </c>
    </row>
    <row r="57" spans="2:4" x14ac:dyDescent="0.2">
      <c r="B57" t="s">
        <v>898</v>
      </c>
      <c r="C57">
        <v>4</v>
      </c>
      <c r="D57" s="11" t="str">
        <f>"0x"&amp;DEC2HEX(HEX2DEC(D$1)+SUM($C$2:C57))</f>
        <v>0x42017342</v>
      </c>
    </row>
    <row r="58" spans="2:4" x14ac:dyDescent="0.2">
      <c r="B58" t="s">
        <v>899</v>
      </c>
      <c r="C58">
        <v>4</v>
      </c>
      <c r="D58" s="11" t="str">
        <f>"0x"&amp;DEC2HEX(HEX2DEC(D$1)+SUM($C$2:C58))</f>
        <v>0x42017346</v>
      </c>
    </row>
    <row r="59" spans="2:4" x14ac:dyDescent="0.2">
      <c r="B59" t="s">
        <v>900</v>
      </c>
      <c r="C59">
        <v>4</v>
      </c>
      <c r="D59" s="11" t="str">
        <f>"0x"&amp;DEC2HEX(HEX2DEC(D$1)+SUM($C$2:C59))</f>
        <v>0x4201734A</v>
      </c>
    </row>
    <row r="60" spans="2:4" x14ac:dyDescent="0.2">
      <c r="B60" t="s">
        <v>901</v>
      </c>
      <c r="C60">
        <v>34</v>
      </c>
      <c r="D60" s="11" t="str">
        <f>"0x"&amp;DEC2HEX(HEX2DEC(D$1)+SUM($C$2:C60))</f>
        <v>0x4201736C</v>
      </c>
    </row>
    <row r="61" spans="2:4" x14ac:dyDescent="0.2">
      <c r="B61" t="s">
        <v>902</v>
      </c>
      <c r="C61">
        <v>4</v>
      </c>
      <c r="D61" s="11" t="str">
        <f>"0x"&amp;DEC2HEX(HEX2DEC(D$1)+SUM($C$2:C61))</f>
        <v>0x42017370</v>
      </c>
    </row>
    <row r="62" spans="2:4" x14ac:dyDescent="0.2">
      <c r="B62" t="s">
        <v>903</v>
      </c>
      <c r="C62">
        <v>4</v>
      </c>
      <c r="D62" s="11" t="str">
        <f>"0x"&amp;DEC2HEX(HEX2DEC(D$1)+SUM($C$2:C62))</f>
        <v>0x42017374</v>
      </c>
    </row>
    <row r="63" spans="2:4" x14ac:dyDescent="0.2">
      <c r="B63" t="s">
        <v>904</v>
      </c>
      <c r="C63">
        <v>22</v>
      </c>
      <c r="D63" s="11" t="str">
        <f>"0x"&amp;DEC2HEX(HEX2DEC(D$1)+SUM($C$2:C63))</f>
        <v>0x4201738A</v>
      </c>
    </row>
    <row r="64" spans="2:4" x14ac:dyDescent="0.2">
      <c r="B64" t="s">
        <v>905</v>
      </c>
      <c r="C64">
        <v>4</v>
      </c>
      <c r="D64" s="11" t="str">
        <f>"0x"&amp;DEC2HEX(HEX2DEC(D$1)+SUM($C$2:C64))</f>
        <v>0x4201738E</v>
      </c>
    </row>
    <row r="65" spans="1:4" x14ac:dyDescent="0.2">
      <c r="B65" t="s">
        <v>906</v>
      </c>
      <c r="C65">
        <v>4</v>
      </c>
      <c r="D65" s="11" t="str">
        <f>"0x"&amp;DEC2HEX(HEX2DEC(D$1)+SUM($C$2:C65))</f>
        <v>0x42017392</v>
      </c>
    </row>
    <row r="66" spans="1:4" x14ac:dyDescent="0.2">
      <c r="A66" t="s">
        <v>22</v>
      </c>
      <c r="D66" s="11"/>
    </row>
    <row r="67" spans="1:4" x14ac:dyDescent="0.2">
      <c r="B67" t="s">
        <v>907</v>
      </c>
      <c r="C67">
        <v>32</v>
      </c>
      <c r="D67" s="11" t="str">
        <f>"0x"&amp;DEC2HEX(HEX2DEC(D$1)+SUM($C$2:C67))</f>
        <v>0x420173B2</v>
      </c>
    </row>
    <row r="68" spans="1:4" x14ac:dyDescent="0.2">
      <c r="B68" t="s">
        <v>908</v>
      </c>
      <c r="C68">
        <v>68</v>
      </c>
      <c r="D68" s="11" t="str">
        <f>"0x"&amp;DEC2HEX(HEX2DEC(D$1)+SUM($C$2:C68))</f>
        <v>0x420173F6</v>
      </c>
    </row>
    <row r="69" spans="1:4" x14ac:dyDescent="0.2">
      <c r="B69" t="s">
        <v>909</v>
      </c>
      <c r="C69">
        <v>72</v>
      </c>
      <c r="D69" s="11" t="str">
        <f>"0x"&amp;DEC2HEX(HEX2DEC(D$1)+SUM($C$2:C69))</f>
        <v>0x4201743E</v>
      </c>
    </row>
    <row r="70" spans="1:4" x14ac:dyDescent="0.2">
      <c r="B70" t="s">
        <v>910</v>
      </c>
      <c r="C70">
        <v>156</v>
      </c>
      <c r="D70" s="11" t="str">
        <f>"0x"&amp;DEC2HEX(HEX2DEC(D$1)+SUM($C$2:C70))</f>
        <v>0x420174DA</v>
      </c>
    </row>
    <row r="71" spans="1:4" x14ac:dyDescent="0.2">
      <c r="B71" t="s">
        <v>911</v>
      </c>
      <c r="C71">
        <v>136</v>
      </c>
      <c r="D71" s="11" t="str">
        <f>"0x"&amp;DEC2HEX(HEX2DEC(D$1)+SUM($C$2:C71))</f>
        <v>0x42017562</v>
      </c>
    </row>
    <row r="72" spans="1:4" x14ac:dyDescent="0.2">
      <c r="B72" t="s">
        <v>912</v>
      </c>
      <c r="D72" s="11" t="str">
        <f>"0x"&amp;DEC2HEX(HEX2DEC(D$1)+SUM($C$2:C72))</f>
        <v>0x42017562</v>
      </c>
    </row>
    <row r="73" spans="1:4" x14ac:dyDescent="0.2">
      <c r="B73" t="s">
        <v>913</v>
      </c>
      <c r="C73">
        <v>150</v>
      </c>
      <c r="D73" s="11" t="str">
        <f>"0x"&amp;DEC2HEX(HEX2DEC(D$1)+SUM($C$2:C73))</f>
        <v>0x420175F8</v>
      </c>
    </row>
    <row r="74" spans="1:4" x14ac:dyDescent="0.2">
      <c r="B74" t="s">
        <v>914</v>
      </c>
      <c r="C74">
        <v>304</v>
      </c>
      <c r="D74" s="11" t="str">
        <f>"0x"&amp;DEC2HEX(HEX2DEC(D$1)+SUM($C$2:C74))</f>
        <v>0x42017728</v>
      </c>
    </row>
    <row r="75" spans="1:4" x14ac:dyDescent="0.2">
      <c r="B75" t="s">
        <v>915</v>
      </c>
      <c r="C75">
        <v>2</v>
      </c>
      <c r="D75" s="11" t="str">
        <f>"0x"&amp;DEC2HEX(HEX2DEC(D$1)+SUM($C$2:C75))</f>
        <v>0x4201772A</v>
      </c>
    </row>
    <row r="76" spans="1:4" x14ac:dyDescent="0.2">
      <c r="B76" t="s">
        <v>916</v>
      </c>
      <c r="C76">
        <v>186</v>
      </c>
      <c r="D76" s="11" t="str">
        <f>"0x"&amp;DEC2HEX(HEX2DEC(D$1)+SUM($C$2:C76))</f>
        <v>0x420177E4</v>
      </c>
    </row>
    <row r="77" spans="1:4" x14ac:dyDescent="0.2">
      <c r="B77" t="s">
        <v>917</v>
      </c>
      <c r="C77">
        <v>230</v>
      </c>
      <c r="D77" s="11" t="str">
        <f>"0x"&amp;DEC2HEX(HEX2DEC(D$1)+SUM($C$2:C77))</f>
        <v>0x420178CA</v>
      </c>
    </row>
    <row r="78" spans="1:4" x14ac:dyDescent="0.2">
      <c r="B78" t="s">
        <v>918</v>
      </c>
      <c r="C78">
        <v>380</v>
      </c>
      <c r="D78" s="11" t="str">
        <f>"0x"&amp;DEC2HEX(HEX2DEC(D$1)+SUM($C$2:C78))</f>
        <v>0x42017A46</v>
      </c>
    </row>
    <row r="79" spans="1:4" x14ac:dyDescent="0.2">
      <c r="B79" t="s">
        <v>919</v>
      </c>
      <c r="C79">
        <v>638</v>
      </c>
      <c r="D79" s="11" t="str">
        <f>"0x"&amp;DEC2HEX(HEX2DEC(D$1)+SUM($C$2:C79))</f>
        <v>0x42017CC4</v>
      </c>
    </row>
    <row r="80" spans="1:4" x14ac:dyDescent="0.2">
      <c r="B80" t="s">
        <v>920</v>
      </c>
      <c r="C80">
        <v>112</v>
      </c>
      <c r="D80" s="11" t="str">
        <f>"0x"&amp;DEC2HEX(HEX2DEC(D$1)+SUM($C$2:C80))</f>
        <v>0x42017D34</v>
      </c>
    </row>
    <row r="81" spans="1:4" x14ac:dyDescent="0.2">
      <c r="B81" t="s">
        <v>921</v>
      </c>
      <c r="C81">
        <v>478</v>
      </c>
      <c r="D81" s="11" t="str">
        <f>"0x"&amp;DEC2HEX(HEX2DEC(D$1)+SUM($C$2:C81))</f>
        <v>0x42017F12</v>
      </c>
    </row>
    <row r="82" spans="1:4" x14ac:dyDescent="0.2">
      <c r="B82" t="s">
        <v>922</v>
      </c>
      <c r="C82">
        <v>226</v>
      </c>
      <c r="D82" s="11" t="str">
        <f>"0x"&amp;DEC2HEX(HEX2DEC(D$1)+SUM($C$2:C82))</f>
        <v>0x42017FF4</v>
      </c>
    </row>
    <row r="83" spans="1:4" x14ac:dyDescent="0.2">
      <c r="B83" t="s">
        <v>923</v>
      </c>
      <c r="C83">
        <v>88</v>
      </c>
      <c r="D83" s="11" t="str">
        <f>"0x"&amp;DEC2HEX(HEX2DEC(D$1)+SUM($C$2:C83))</f>
        <v>0x4201804C</v>
      </c>
    </row>
    <row r="84" spans="1:4" x14ac:dyDescent="0.2">
      <c r="B84" t="s">
        <v>924</v>
      </c>
      <c r="C84">
        <v>298</v>
      </c>
      <c r="D84" s="11" t="str">
        <f>"0x"&amp;DEC2HEX(HEX2DEC(D$1)+SUM($C$2:C84))</f>
        <v>0x42018176</v>
      </c>
    </row>
    <row r="85" spans="1:4" x14ac:dyDescent="0.2">
      <c r="B85" t="s">
        <v>925</v>
      </c>
      <c r="C85">
        <v>222</v>
      </c>
      <c r="D85" s="11" t="str">
        <f>"0x"&amp;DEC2HEX(HEX2DEC(D$1)+SUM($C$2:C85))</f>
        <v>0x42018254</v>
      </c>
    </row>
    <row r="86" spans="1:4" x14ac:dyDescent="0.2">
      <c r="B86" t="s">
        <v>926</v>
      </c>
      <c r="C86">
        <v>42</v>
      </c>
      <c r="D86" s="11" t="str">
        <f>"0x"&amp;DEC2HEX(HEX2DEC(D$1)+SUM($C$2:C86))</f>
        <v>0x4201827E</v>
      </c>
    </row>
    <row r="87" spans="1:4" x14ac:dyDescent="0.2">
      <c r="B87" t="s">
        <v>927</v>
      </c>
      <c r="C87">
        <v>158</v>
      </c>
      <c r="D87" s="11" t="str">
        <f>"0x"&amp;DEC2HEX(HEX2DEC(D$1)+SUM($C$2:C87))</f>
        <v>0x4201831C</v>
      </c>
    </row>
    <row r="88" spans="1:4" x14ac:dyDescent="0.2">
      <c r="B88" t="s">
        <v>928</v>
      </c>
      <c r="C88">
        <v>148</v>
      </c>
      <c r="D88" s="11" t="str">
        <f>"0x"&amp;DEC2HEX(HEX2DEC(D$1)+SUM($C$2:C88))</f>
        <v>0x420183B0</v>
      </c>
    </row>
    <row r="89" spans="1:4" x14ac:dyDescent="0.2">
      <c r="B89" t="s">
        <v>929</v>
      </c>
      <c r="C89">
        <v>72</v>
      </c>
      <c r="D89" s="11" t="str">
        <f>"0x"&amp;DEC2HEX(HEX2DEC(D$1)+SUM($C$2:C89))</f>
        <v>0x420183F8</v>
      </c>
    </row>
    <row r="90" spans="1:4" x14ac:dyDescent="0.2">
      <c r="B90" t="s">
        <v>930</v>
      </c>
      <c r="C90">
        <v>272</v>
      </c>
      <c r="D90" s="11" t="str">
        <f>"0x"&amp;DEC2HEX(HEX2DEC(D$1)+SUM($C$2:C90))</f>
        <v>0x42018508</v>
      </c>
    </row>
    <row r="91" spans="1:4" x14ac:dyDescent="0.2">
      <c r="B91" t="s">
        <v>931</v>
      </c>
      <c r="C91">
        <v>112</v>
      </c>
      <c r="D91" s="11" t="str">
        <f>"0x"&amp;DEC2HEX(HEX2DEC(D$1)+SUM($C$2:C91))</f>
        <v>0x42018578</v>
      </c>
    </row>
    <row r="92" spans="1:4" x14ac:dyDescent="0.2">
      <c r="A92" t="s">
        <v>69</v>
      </c>
      <c r="D92" s="11"/>
    </row>
    <row r="93" spans="1:4" x14ac:dyDescent="0.2">
      <c r="B93" t="s">
        <v>932</v>
      </c>
      <c r="C93">
        <v>22</v>
      </c>
      <c r="D93" s="11" t="str">
        <f>"0x"&amp;DEC2HEX(HEX2DEC(D$1)+SUM($C$2:C93))</f>
        <v>0x4201858E</v>
      </c>
    </row>
    <row r="94" spans="1:4" x14ac:dyDescent="0.2">
      <c r="B94" t="s">
        <v>933</v>
      </c>
      <c r="C94">
        <v>14</v>
      </c>
      <c r="D94" s="11" t="str">
        <f>"0x"&amp;DEC2HEX(HEX2DEC(D$1)+SUM($C$2:C94))</f>
        <v>0x4201859C</v>
      </c>
    </row>
    <row r="95" spans="1:4" x14ac:dyDescent="0.2">
      <c r="B95" t="s">
        <v>934</v>
      </c>
      <c r="C95">
        <v>22</v>
      </c>
      <c r="D95" s="11" t="str">
        <f>"0x"&amp;DEC2HEX(HEX2DEC(D$1)+SUM($C$2:C95))</f>
        <v>0x420185B2</v>
      </c>
    </row>
    <row r="96" spans="1:4" x14ac:dyDescent="0.2">
      <c r="B96" t="s">
        <v>935</v>
      </c>
      <c r="C96">
        <v>22</v>
      </c>
      <c r="D96" s="11" t="str">
        <f>"0x"&amp;DEC2HEX(HEX2DEC(D$1)+SUM($C$2:C96))</f>
        <v>0x420185C8</v>
      </c>
    </row>
    <row r="97" spans="2:4" x14ac:dyDescent="0.2">
      <c r="B97" t="s">
        <v>936</v>
      </c>
      <c r="C97">
        <v>44</v>
      </c>
      <c r="D97" s="11" t="str">
        <f>"0x"&amp;DEC2HEX(HEX2DEC(D$1)+SUM($C$2:C97))</f>
        <v>0x420185F4</v>
      </c>
    </row>
    <row r="98" spans="2:4" x14ac:dyDescent="0.2">
      <c r="B98" t="s">
        <v>937</v>
      </c>
      <c r="C98">
        <v>26</v>
      </c>
      <c r="D98" s="11" t="str">
        <f>"0x"&amp;DEC2HEX(HEX2DEC(D$1)+SUM($C$2:C98))</f>
        <v>0x4201860E</v>
      </c>
    </row>
    <row r="99" spans="2:4" x14ac:dyDescent="0.2">
      <c r="B99" t="s">
        <v>938</v>
      </c>
      <c r="C99">
        <v>8</v>
      </c>
      <c r="D99" s="11" t="str">
        <f>"0x"&amp;DEC2HEX(HEX2DEC(D$1)+SUM($C$2:C99))</f>
        <v>0x42018616</v>
      </c>
    </row>
    <row r="100" spans="2:4" x14ac:dyDescent="0.2">
      <c r="B100" t="s">
        <v>939</v>
      </c>
      <c r="C100">
        <v>8</v>
      </c>
      <c r="D100" s="11" t="str">
        <f>"0x"&amp;DEC2HEX(HEX2DEC(D$1)+SUM($C$2:C100))</f>
        <v>0x4201861E</v>
      </c>
    </row>
    <row r="101" spans="2:4" x14ac:dyDescent="0.2">
      <c r="B101" t="s">
        <v>940</v>
      </c>
      <c r="C101">
        <v>8</v>
      </c>
      <c r="D101" s="11" t="str">
        <f>"0x"&amp;DEC2HEX(HEX2DEC(D$1)+SUM($C$2:C101))</f>
        <v>0x42018626</v>
      </c>
    </row>
    <row r="102" spans="2:4" x14ac:dyDescent="0.2">
      <c r="B102" t="s">
        <v>941</v>
      </c>
      <c r="C102">
        <v>8</v>
      </c>
      <c r="D102" s="11" t="str">
        <f>"0x"&amp;DEC2HEX(HEX2DEC(D$1)+SUM($C$2:C102))</f>
        <v>0x4201862E</v>
      </c>
    </row>
    <row r="103" spans="2:4" x14ac:dyDescent="0.2">
      <c r="B103" t="s">
        <v>942</v>
      </c>
      <c r="C103">
        <v>8</v>
      </c>
      <c r="D103" s="11" t="str">
        <f>"0x"&amp;DEC2HEX(HEX2DEC(D$1)+SUM($C$2:C103))</f>
        <v>0x42018636</v>
      </c>
    </row>
    <row r="104" spans="2:4" x14ac:dyDescent="0.2">
      <c r="B104" t="s">
        <v>943</v>
      </c>
      <c r="C104">
        <v>8</v>
      </c>
      <c r="D104" s="11" t="str">
        <f>"0x"&amp;DEC2HEX(HEX2DEC(D$1)+SUM($C$2:C104))</f>
        <v>0x4201863E</v>
      </c>
    </row>
    <row r="105" spans="2:4" x14ac:dyDescent="0.2">
      <c r="B105" t="s">
        <v>944</v>
      </c>
      <c r="C105">
        <v>8</v>
      </c>
      <c r="D105" s="11" t="str">
        <f>"0x"&amp;DEC2HEX(HEX2DEC(D$1)+SUM($C$2:C105))</f>
        <v>0x42018646</v>
      </c>
    </row>
    <row r="106" spans="2:4" x14ac:dyDescent="0.2">
      <c r="B106" t="s">
        <v>945</v>
      </c>
      <c r="C106">
        <v>8</v>
      </c>
      <c r="D106" s="11" t="str">
        <f>"0x"&amp;DEC2HEX(HEX2DEC(D$1)+SUM($C$2:C106))</f>
        <v>0x4201864E</v>
      </c>
    </row>
    <row r="107" spans="2:4" x14ac:dyDescent="0.2">
      <c r="B107" t="s">
        <v>946</v>
      </c>
      <c r="C107">
        <v>8</v>
      </c>
      <c r="D107" s="11" t="str">
        <f>"0x"&amp;DEC2HEX(HEX2DEC(D$1)+SUM($C$2:C107))</f>
        <v>0x42018656</v>
      </c>
    </row>
    <row r="108" spans="2:4" x14ac:dyDescent="0.2">
      <c r="B108" t="s">
        <v>947</v>
      </c>
      <c r="C108">
        <v>32</v>
      </c>
      <c r="D108" s="11" t="str">
        <f>"0x"&amp;DEC2HEX(HEX2DEC(D$1)+SUM($C$2:C108))</f>
        <v>0x42018676</v>
      </c>
    </row>
    <row r="109" spans="2:4" x14ac:dyDescent="0.2">
      <c r="B109" t="s">
        <v>948</v>
      </c>
      <c r="C109">
        <v>10</v>
      </c>
      <c r="D109" s="11" t="str">
        <f>"0x"&amp;DEC2HEX(HEX2DEC(D$1)+SUM($C$2:C109))</f>
        <v>0x42018680</v>
      </c>
    </row>
    <row r="110" spans="2:4" x14ac:dyDescent="0.2">
      <c r="B110" t="s">
        <v>949</v>
      </c>
      <c r="C110">
        <v>10</v>
      </c>
      <c r="D110" s="11" t="str">
        <f>"0x"&amp;DEC2HEX(HEX2DEC(D$1)+SUM($C$2:C110))</f>
        <v>0x4201868A</v>
      </c>
    </row>
    <row r="111" spans="2:4" x14ac:dyDescent="0.2">
      <c r="B111" t="s">
        <v>950</v>
      </c>
      <c r="C111">
        <v>12</v>
      </c>
      <c r="D111" s="11" t="str">
        <f>"0x"&amp;DEC2HEX(HEX2DEC(D$1)+SUM($C$2:C111))</f>
        <v>0x42018696</v>
      </c>
    </row>
    <row r="112" spans="2:4" x14ac:dyDescent="0.2">
      <c r="B112" t="s">
        <v>951</v>
      </c>
      <c r="C112">
        <v>30</v>
      </c>
      <c r="D112" s="11" t="str">
        <f>"0x"&amp;DEC2HEX(HEX2DEC(D$1)+SUM($C$2:C112))</f>
        <v>0x420186B4</v>
      </c>
    </row>
    <row r="113" spans="2:4" x14ac:dyDescent="0.2">
      <c r="B113" t="s">
        <v>952</v>
      </c>
      <c r="C113">
        <v>94</v>
      </c>
      <c r="D113" s="11" t="str">
        <f>"0x"&amp;DEC2HEX(HEX2DEC(D$1)+SUM($C$2:C113))</f>
        <v>0x42018712</v>
      </c>
    </row>
    <row r="114" spans="2:4" x14ac:dyDescent="0.2">
      <c r="B114" t="s">
        <v>953</v>
      </c>
      <c r="C114">
        <v>120</v>
      </c>
      <c r="D114" s="11" t="str">
        <f>"0x"&amp;DEC2HEX(HEX2DEC(D$1)+SUM($C$2:C114))</f>
        <v>0x4201878A</v>
      </c>
    </row>
    <row r="115" spans="2:4" x14ac:dyDescent="0.2">
      <c r="B115" t="s">
        <v>954</v>
      </c>
      <c r="C115">
        <v>2</v>
      </c>
      <c r="D115" s="11" t="str">
        <f>"0x"&amp;DEC2HEX(HEX2DEC(D$1)+SUM($C$2:C115))</f>
        <v>0x4201878C</v>
      </c>
    </row>
    <row r="116" spans="2:4" x14ac:dyDescent="0.2">
      <c r="B116" t="s">
        <v>955</v>
      </c>
      <c r="C116">
        <v>2</v>
      </c>
      <c r="D116" s="11" t="str">
        <f>"0x"&amp;DEC2HEX(HEX2DEC(D$1)+SUM($C$2:C116))</f>
        <v>0x4201878E</v>
      </c>
    </row>
    <row r="117" spans="2:4" x14ac:dyDescent="0.2">
      <c r="B117" t="s">
        <v>956</v>
      </c>
      <c r="C117">
        <v>12</v>
      </c>
      <c r="D117" s="11" t="str">
        <f>"0x"&amp;DEC2HEX(HEX2DEC(D$1)+SUM($C$2:C117))</f>
        <v>0x4201879A</v>
      </c>
    </row>
    <row r="118" spans="2:4" x14ac:dyDescent="0.2">
      <c r="B118" t="s">
        <v>957</v>
      </c>
      <c r="C118">
        <v>88</v>
      </c>
      <c r="D118" s="11" t="str">
        <f>"0x"&amp;DEC2HEX(HEX2DEC(D$1)+SUM($C$2:C118))</f>
        <v>0x420187F2</v>
      </c>
    </row>
    <row r="119" spans="2:4" x14ac:dyDescent="0.2">
      <c r="B119" t="s">
        <v>958</v>
      </c>
      <c r="C119">
        <v>62</v>
      </c>
      <c r="D119" s="11" t="str">
        <f>"0x"&amp;DEC2HEX(HEX2DEC(D$1)+SUM($C$2:C119))</f>
        <v>0x42018830</v>
      </c>
    </row>
    <row r="120" spans="2:4" x14ac:dyDescent="0.2">
      <c r="B120" t="s">
        <v>959</v>
      </c>
      <c r="C120">
        <v>156</v>
      </c>
      <c r="D120" s="11" t="str">
        <f>"0x"&amp;DEC2HEX(HEX2DEC(D$1)+SUM($C$2:C120))</f>
        <v>0x420188CC</v>
      </c>
    </row>
    <row r="121" spans="2:4" x14ac:dyDescent="0.2">
      <c r="B121" t="s">
        <v>960</v>
      </c>
      <c r="C121">
        <v>74</v>
      </c>
      <c r="D121" s="11" t="str">
        <f>"0x"&amp;DEC2HEX(HEX2DEC(D$1)+SUM($C$2:C121))</f>
        <v>0x42018916</v>
      </c>
    </row>
    <row r="122" spans="2:4" x14ac:dyDescent="0.2">
      <c r="B122" t="s">
        <v>961</v>
      </c>
      <c r="C122">
        <v>72</v>
      </c>
      <c r="D122" s="11" t="str">
        <f>"0x"&amp;DEC2HEX(HEX2DEC(D$1)+SUM($C$2:C122))</f>
        <v>0x4201895E</v>
      </c>
    </row>
    <row r="123" spans="2:4" x14ac:dyDescent="0.2">
      <c r="B123" t="s">
        <v>962</v>
      </c>
      <c r="C123">
        <v>192</v>
      </c>
      <c r="D123" s="11" t="str">
        <f>"0x"&amp;DEC2HEX(HEX2DEC(D$1)+SUM($C$2:C123))</f>
        <v>0x42018A1E</v>
      </c>
    </row>
    <row r="124" spans="2:4" x14ac:dyDescent="0.2">
      <c r="B124" t="s">
        <v>963</v>
      </c>
      <c r="C124">
        <v>82</v>
      </c>
      <c r="D124" s="11" t="str">
        <f>"0x"&amp;DEC2HEX(HEX2DEC(D$1)+SUM($C$2:C124))</f>
        <v>0x42018A70</v>
      </c>
    </row>
    <row r="125" spans="2:4" x14ac:dyDescent="0.2">
      <c r="B125" t="s">
        <v>964</v>
      </c>
      <c r="C125">
        <v>670</v>
      </c>
      <c r="D125" s="11" t="str">
        <f>"0x"&amp;DEC2HEX(HEX2DEC(D$1)+SUM($C$2:C125))</f>
        <v>0x42018D0E</v>
      </c>
    </row>
    <row r="126" spans="2:4" x14ac:dyDescent="0.2">
      <c r="B126" t="s">
        <v>965</v>
      </c>
      <c r="C126">
        <v>118</v>
      </c>
      <c r="D126" s="11" t="str">
        <f>"0x"&amp;DEC2HEX(HEX2DEC(D$1)+SUM($C$2:C126))</f>
        <v>0x42018D84</v>
      </c>
    </row>
    <row r="127" spans="2:4" x14ac:dyDescent="0.2">
      <c r="B127" t="s">
        <v>966</v>
      </c>
      <c r="C127">
        <v>92</v>
      </c>
      <c r="D127" s="11" t="str">
        <f>"0x"&amp;DEC2HEX(HEX2DEC(D$1)+SUM($C$2:C127))</f>
        <v>0x42018DE0</v>
      </c>
    </row>
    <row r="128" spans="2:4" x14ac:dyDescent="0.2">
      <c r="B128" t="s">
        <v>967</v>
      </c>
      <c r="C128">
        <v>82</v>
      </c>
      <c r="D128" s="11" t="str">
        <f>"0x"&amp;DEC2HEX(HEX2DEC(D$1)+SUM($C$2:C128))</f>
        <v>0x42018E32</v>
      </c>
    </row>
    <row r="129" spans="2:4" x14ac:dyDescent="0.2">
      <c r="B129" t="s">
        <v>968</v>
      </c>
      <c r="C129">
        <v>66</v>
      </c>
      <c r="D129" s="11" t="str">
        <f>"0x"&amp;DEC2HEX(HEX2DEC(D$1)+SUM($C$2:C129))</f>
        <v>0x42018E74</v>
      </c>
    </row>
    <row r="130" spans="2:4" x14ac:dyDescent="0.2">
      <c r="B130" t="s">
        <v>969</v>
      </c>
      <c r="C130">
        <v>2</v>
      </c>
      <c r="D130" s="11" t="str">
        <f>"0x"&amp;DEC2HEX(HEX2DEC(D$1)+SUM($C$2:C130))</f>
        <v>0x42018E76</v>
      </c>
    </row>
    <row r="131" spans="2:4" x14ac:dyDescent="0.2">
      <c r="B131" t="s">
        <v>970</v>
      </c>
      <c r="C131">
        <v>442</v>
      </c>
      <c r="D131" s="11" t="str">
        <f>"0x"&amp;DEC2HEX(HEX2DEC(D$1)+SUM($C$2:C131))</f>
        <v>0x42019030</v>
      </c>
    </row>
    <row r="132" spans="2:4" x14ac:dyDescent="0.2">
      <c r="B132" t="s">
        <v>971</v>
      </c>
      <c r="C132">
        <v>14</v>
      </c>
      <c r="D132" s="11" t="str">
        <f>"0x"&amp;DEC2HEX(HEX2DEC(D$1)+SUM($C$2:C132))</f>
        <v>0x4201903E</v>
      </c>
    </row>
    <row r="133" spans="2:4" x14ac:dyDescent="0.2">
      <c r="B133" t="s">
        <v>972</v>
      </c>
      <c r="C133">
        <v>228</v>
      </c>
      <c r="D133" s="11" t="str">
        <f>"0x"&amp;DEC2HEX(HEX2DEC(D$1)+SUM($C$2:C133))</f>
        <v>0x42019122</v>
      </c>
    </row>
    <row r="134" spans="2:4" x14ac:dyDescent="0.2">
      <c r="B134" t="s">
        <v>973</v>
      </c>
      <c r="C134">
        <v>16</v>
      </c>
      <c r="D134" s="11" t="str">
        <f>"0x"&amp;DEC2HEX(HEX2DEC(D$1)+SUM($C$2:C134))</f>
        <v>0x42019132</v>
      </c>
    </row>
    <row r="135" spans="2:4" x14ac:dyDescent="0.2">
      <c r="B135" t="s">
        <v>974</v>
      </c>
      <c r="C135">
        <v>32</v>
      </c>
      <c r="D135" s="11" t="str">
        <f>"0x"&amp;DEC2HEX(HEX2DEC(D$1)+SUM($C$2:C135))</f>
        <v>0x42019152</v>
      </c>
    </row>
    <row r="136" spans="2:4" x14ac:dyDescent="0.2">
      <c r="B136" t="s">
        <v>975</v>
      </c>
      <c r="C136">
        <v>28</v>
      </c>
      <c r="D136" s="11" t="str">
        <f>"0x"&amp;DEC2HEX(HEX2DEC(D$1)+SUM($C$2:C136))</f>
        <v>0x4201916E</v>
      </c>
    </row>
    <row r="137" spans="2:4" x14ac:dyDescent="0.2">
      <c r="B137" t="s">
        <v>976</v>
      </c>
      <c r="C137">
        <v>148</v>
      </c>
      <c r="D137" s="11" t="str">
        <f>"0x"&amp;DEC2HEX(HEX2DEC(D$1)+SUM($C$2:C137))</f>
        <v>0x42019202</v>
      </c>
    </row>
    <row r="138" spans="2:4" x14ac:dyDescent="0.2">
      <c r="B138" t="s">
        <v>977</v>
      </c>
      <c r="C138">
        <v>466</v>
      </c>
      <c r="D138" s="11" t="str">
        <f>"0x"&amp;DEC2HEX(HEX2DEC(D$1)+SUM($C$2:C138))</f>
        <v>0x420193D4</v>
      </c>
    </row>
    <row r="139" spans="2:4" x14ac:dyDescent="0.2">
      <c r="B139" t="s">
        <v>978</v>
      </c>
      <c r="C139">
        <v>246</v>
      </c>
      <c r="D139" s="11" t="str">
        <f>"0x"&amp;DEC2HEX(HEX2DEC(D$1)+SUM($C$2:C139))</f>
        <v>0x420194CA</v>
      </c>
    </row>
    <row r="140" spans="2:4" x14ac:dyDescent="0.2">
      <c r="B140" t="s">
        <v>979</v>
      </c>
      <c r="C140">
        <v>88</v>
      </c>
      <c r="D140" s="11" t="str">
        <f>"0x"&amp;DEC2HEX(HEX2DEC(D$1)+SUM($C$2:C140))</f>
        <v>0x42019522</v>
      </c>
    </row>
    <row r="141" spans="2:4" x14ac:dyDescent="0.2">
      <c r="B141" t="s">
        <v>980</v>
      </c>
      <c r="C141">
        <v>170</v>
      </c>
      <c r="D141" s="11" t="str">
        <f>"0x"&amp;DEC2HEX(HEX2DEC(D$1)+SUM($C$2:C141))</f>
        <v>0x420195CC</v>
      </c>
    </row>
    <row r="142" spans="2:4" x14ac:dyDescent="0.2">
      <c r="B142" t="s">
        <v>981</v>
      </c>
      <c r="C142">
        <v>308</v>
      </c>
      <c r="D142" s="11" t="str">
        <f>"0x"&amp;DEC2HEX(HEX2DEC(D$1)+SUM($C$2:C142))</f>
        <v>0x42019700</v>
      </c>
    </row>
    <row r="143" spans="2:4" x14ac:dyDescent="0.2">
      <c r="B143" t="s">
        <v>982</v>
      </c>
      <c r="C143">
        <v>246</v>
      </c>
      <c r="D143" s="11" t="str">
        <f>"0x"&amp;DEC2HEX(HEX2DEC(D$1)+SUM($C$2:C143))</f>
        <v>0x420197F6</v>
      </c>
    </row>
    <row r="144" spans="2:4" x14ac:dyDescent="0.2">
      <c r="B144" t="s">
        <v>983</v>
      </c>
      <c r="C144">
        <v>112</v>
      </c>
      <c r="D144" s="11" t="str">
        <f>"0x"&amp;DEC2HEX(HEX2DEC(D$1)+SUM($C$2:C144))</f>
        <v>0x42019866</v>
      </c>
    </row>
    <row r="145" spans="1:4" x14ac:dyDescent="0.2">
      <c r="B145" t="s">
        <v>984</v>
      </c>
      <c r="C145">
        <v>10</v>
      </c>
      <c r="D145" s="11" t="str">
        <f>"0x"&amp;DEC2HEX(HEX2DEC(D$1)+SUM($C$2:C145))</f>
        <v>0x42019870</v>
      </c>
    </row>
    <row r="146" spans="1:4" x14ac:dyDescent="0.2">
      <c r="B146" t="s">
        <v>985</v>
      </c>
      <c r="C146">
        <v>10</v>
      </c>
      <c r="D146" s="11" t="str">
        <f>"0x"&amp;DEC2HEX(HEX2DEC(D$1)+SUM($C$2:C146))</f>
        <v>0x4201987A</v>
      </c>
    </row>
    <row r="147" spans="1:4" x14ac:dyDescent="0.2">
      <c r="B147" t="s">
        <v>986</v>
      </c>
      <c r="C147">
        <v>4</v>
      </c>
      <c r="D147" s="11" t="str">
        <f>"0x"&amp;DEC2HEX(HEX2DEC(D$1)+SUM($C$2:C147))</f>
        <v>0x4201987E</v>
      </c>
    </row>
    <row r="148" spans="1:4" x14ac:dyDescent="0.2">
      <c r="B148" t="s">
        <v>987</v>
      </c>
      <c r="C148">
        <v>140</v>
      </c>
      <c r="D148" s="11" t="str">
        <f>"0x"&amp;DEC2HEX(HEX2DEC(D$1)+SUM($C$2:C148))</f>
        <v>0x4201990A</v>
      </c>
    </row>
    <row r="149" spans="1:4" x14ac:dyDescent="0.2">
      <c r="B149" t="s">
        <v>988</v>
      </c>
      <c r="C149">
        <v>74</v>
      </c>
      <c r="D149" s="11" t="str">
        <f>"0x"&amp;DEC2HEX(HEX2DEC(D$1)+SUM($C$2:C149))</f>
        <v>0x42019954</v>
      </c>
    </row>
    <row r="150" spans="1:4" x14ac:dyDescent="0.2">
      <c r="B150" t="s">
        <v>989</v>
      </c>
      <c r="C150">
        <v>142</v>
      </c>
      <c r="D150" s="11" t="str">
        <f>"0x"&amp;DEC2HEX(HEX2DEC(D$1)+SUM($C$2:C150))</f>
        <v>0x420199E2</v>
      </c>
    </row>
    <row r="151" spans="1:4" x14ac:dyDescent="0.2">
      <c r="B151" t="s">
        <v>990</v>
      </c>
      <c r="C151">
        <v>4</v>
      </c>
      <c r="D151" s="11" t="str">
        <f>"0x"&amp;DEC2HEX(HEX2DEC(D$1)+SUM($C$2:C151))</f>
        <v>0x420199E6</v>
      </c>
    </row>
    <row r="152" spans="1:4" x14ac:dyDescent="0.2">
      <c r="B152" t="s">
        <v>991</v>
      </c>
      <c r="C152">
        <v>108</v>
      </c>
      <c r="D152" s="11" t="str">
        <f>"0x"&amp;DEC2HEX(HEX2DEC(D$1)+SUM($C$2:C152))</f>
        <v>0x42019A52</v>
      </c>
    </row>
    <row r="153" spans="1:4" x14ac:dyDescent="0.2">
      <c r="B153" t="s">
        <v>992</v>
      </c>
      <c r="C153">
        <v>74</v>
      </c>
      <c r="D153" s="11" t="str">
        <f>"0x"&amp;DEC2HEX(HEX2DEC(D$1)+SUM($C$2:C153))</f>
        <v>0x42019A9C</v>
      </c>
    </row>
    <row r="154" spans="1:4" x14ac:dyDescent="0.2">
      <c r="B154" t="s">
        <v>993</v>
      </c>
      <c r="C154">
        <v>580</v>
      </c>
      <c r="D154" s="11" t="str">
        <f>"0x"&amp;DEC2HEX(HEX2DEC(D$1)+SUM($C$2:C154))</f>
        <v>0x42019CE0</v>
      </c>
    </row>
    <row r="155" spans="1:4" x14ac:dyDescent="0.2">
      <c r="B155" t="s">
        <v>994</v>
      </c>
      <c r="C155">
        <v>530</v>
      </c>
      <c r="D155" s="11" t="str">
        <f>"0x"&amp;DEC2HEX(HEX2DEC(D$1)+SUM($C$2:C155))</f>
        <v>0x42019EF2</v>
      </c>
    </row>
    <row r="156" spans="1:4" x14ac:dyDescent="0.2">
      <c r="B156" t="s">
        <v>995</v>
      </c>
      <c r="C156">
        <v>382</v>
      </c>
      <c r="D156" s="11" t="str">
        <f>"0x"&amp;DEC2HEX(HEX2DEC(D$1)+SUM($C$2:C156))</f>
        <v>0x4201A070</v>
      </c>
    </row>
    <row r="157" spans="1:4" x14ac:dyDescent="0.2">
      <c r="B157" t="s">
        <v>996</v>
      </c>
      <c r="C157">
        <v>162</v>
      </c>
      <c r="D157" s="11" t="str">
        <f>"0x"&amp;DEC2HEX(HEX2DEC(D$1)+SUM($C$2:C157))</f>
        <v>0x4201A112</v>
      </c>
    </row>
    <row r="158" spans="1:4" x14ac:dyDescent="0.2">
      <c r="B158" t="s">
        <v>997</v>
      </c>
      <c r="C158">
        <v>2</v>
      </c>
      <c r="D158" s="11" t="str">
        <f>"0x"&amp;DEC2HEX(HEX2DEC(D$1)+SUM($C$2:C158))</f>
        <v>0x4201A114</v>
      </c>
    </row>
    <row r="159" spans="1:4" x14ac:dyDescent="0.2">
      <c r="B159" t="s">
        <v>998</v>
      </c>
      <c r="C159">
        <v>44</v>
      </c>
      <c r="D159" s="11" t="str">
        <f>"0x"&amp;DEC2HEX(HEX2DEC(D$1)+SUM($C$2:C159))</f>
        <v>0x4201A140</v>
      </c>
    </row>
    <row r="160" spans="1:4" x14ac:dyDescent="0.2">
      <c r="A160" t="s">
        <v>131</v>
      </c>
      <c r="D160" s="11"/>
    </row>
    <row r="161" spans="1:4" x14ac:dyDescent="0.2">
      <c r="B161" t="s">
        <v>999</v>
      </c>
      <c r="C161">
        <v>14</v>
      </c>
      <c r="D161" s="11" t="str">
        <f>"0x"&amp;DEC2HEX(HEX2DEC(D$1)+SUM($C$2:C161))</f>
        <v>0x4201A14E</v>
      </c>
    </row>
    <row r="162" spans="1:4" x14ac:dyDescent="0.2">
      <c r="B162" t="s">
        <v>1000</v>
      </c>
      <c r="C162">
        <v>56</v>
      </c>
      <c r="D162" s="11" t="str">
        <f>"0x"&amp;DEC2HEX(HEX2DEC(D$1)+SUM($C$2:C162))</f>
        <v>0x4201A186</v>
      </c>
    </row>
    <row r="163" spans="1:4" x14ac:dyDescent="0.2">
      <c r="A163" t="s">
        <v>1001</v>
      </c>
      <c r="D163" s="11"/>
    </row>
    <row r="164" spans="1:4" x14ac:dyDescent="0.2">
      <c r="A164" t="s">
        <v>1002</v>
      </c>
      <c r="D164" s="11"/>
    </row>
    <row r="165" spans="1:4" x14ac:dyDescent="0.2">
      <c r="A165" t="s">
        <v>1003</v>
      </c>
      <c r="D165" s="11"/>
    </row>
    <row r="166" spans="1:4" x14ac:dyDescent="0.2">
      <c r="A166" t="s">
        <v>29</v>
      </c>
      <c r="D166" s="11"/>
    </row>
    <row r="167" spans="1:4" x14ac:dyDescent="0.2">
      <c r="B167" t="s">
        <v>1004</v>
      </c>
      <c r="C167">
        <v>72</v>
      </c>
      <c r="D167" s="11" t="str">
        <f>"0x"&amp;DEC2HEX(HEX2DEC(D$1)+SUM($C$2:C167))</f>
        <v>0x4201A1CE</v>
      </c>
    </row>
    <row r="168" spans="1:4" x14ac:dyDescent="0.2">
      <c r="B168" t="s">
        <v>1005</v>
      </c>
      <c r="C168">
        <v>30</v>
      </c>
      <c r="D168" s="11" t="str">
        <f>"0x"&amp;DEC2HEX(HEX2DEC(D$1)+SUM($C$2:C168))</f>
        <v>0x4201A1EC</v>
      </c>
    </row>
    <row r="169" spans="1:4" x14ac:dyDescent="0.2">
      <c r="B169" t="s">
        <v>1006</v>
      </c>
      <c r="C169">
        <v>28</v>
      </c>
      <c r="D169" s="11" t="str">
        <f>"0x"&amp;DEC2HEX(HEX2DEC(D$1)+SUM($C$2:C169))</f>
        <v>0x4201A208</v>
      </c>
    </row>
    <row r="170" spans="1:4" x14ac:dyDescent="0.2">
      <c r="B170" t="s">
        <v>1007</v>
      </c>
      <c r="C170">
        <v>30</v>
      </c>
      <c r="D170" s="11" t="str">
        <f>"0x"&amp;DEC2HEX(HEX2DEC(D$1)+SUM($C$2:C170))</f>
        <v>0x4201A226</v>
      </c>
    </row>
    <row r="171" spans="1:4" x14ac:dyDescent="0.2">
      <c r="B171" t="s">
        <v>1008</v>
      </c>
      <c r="C171">
        <v>12</v>
      </c>
      <c r="D171" s="11" t="str">
        <f>"0x"&amp;DEC2HEX(HEX2DEC(D$1)+SUM($C$2:C171))</f>
        <v>0x4201A232</v>
      </c>
    </row>
    <row r="172" spans="1:4" x14ac:dyDescent="0.2">
      <c r="B172" t="s">
        <v>1009</v>
      </c>
      <c r="C172">
        <v>12</v>
      </c>
      <c r="D172" s="11" t="str">
        <f>"0x"&amp;DEC2HEX(HEX2DEC(D$1)+SUM($C$2:C172))</f>
        <v>0x4201A23E</v>
      </c>
    </row>
    <row r="173" spans="1:4" x14ac:dyDescent="0.2">
      <c r="B173" t="s">
        <v>1010</v>
      </c>
      <c r="C173">
        <v>12</v>
      </c>
      <c r="D173" s="11" t="str">
        <f>"0x"&amp;DEC2HEX(HEX2DEC(D$1)+SUM($C$2:C173))</f>
        <v>0x4201A24A</v>
      </c>
    </row>
    <row r="174" spans="1:4" x14ac:dyDescent="0.2">
      <c r="B174" t="s">
        <v>1011</v>
      </c>
      <c r="C174">
        <v>12</v>
      </c>
      <c r="D174" s="11" t="str">
        <f>"0x"&amp;DEC2HEX(HEX2DEC(D$1)+SUM($C$2:C174))</f>
        <v>0x4201A256</v>
      </c>
    </row>
    <row r="175" spans="1:4" x14ac:dyDescent="0.2">
      <c r="B175" t="s">
        <v>1012</v>
      </c>
      <c r="C175">
        <v>40</v>
      </c>
      <c r="D175" s="11" t="str">
        <f>"0x"&amp;DEC2HEX(HEX2DEC(D$1)+SUM($C$2:C175))</f>
        <v>0x4201A27E</v>
      </c>
    </row>
    <row r="176" spans="1:4" x14ac:dyDescent="0.2">
      <c r="B176" t="s">
        <v>1013</v>
      </c>
      <c r="C176">
        <v>12</v>
      </c>
      <c r="D176" s="11" t="str">
        <f>"0x"&amp;DEC2HEX(HEX2DEC(D$1)+SUM($C$2:C176))</f>
        <v>0x4201A28A</v>
      </c>
    </row>
    <row r="177" spans="2:4" x14ac:dyDescent="0.2">
      <c r="B177" t="s">
        <v>1014</v>
      </c>
      <c r="C177">
        <v>32</v>
      </c>
      <c r="D177" s="11" t="str">
        <f>"0x"&amp;DEC2HEX(HEX2DEC(D$1)+SUM($C$2:C177))</f>
        <v>0x4201A2AA</v>
      </c>
    </row>
    <row r="178" spans="2:4" x14ac:dyDescent="0.2">
      <c r="B178" t="s">
        <v>1015</v>
      </c>
      <c r="C178">
        <v>78</v>
      </c>
      <c r="D178" s="11" t="str">
        <f>"0x"&amp;DEC2HEX(HEX2DEC(D$1)+SUM($C$2:C178))</f>
        <v>0x4201A2F8</v>
      </c>
    </row>
    <row r="179" spans="2:4" x14ac:dyDescent="0.2">
      <c r="B179" t="s">
        <v>1016</v>
      </c>
      <c r="C179">
        <v>54</v>
      </c>
      <c r="D179" s="11" t="str">
        <f>"0x"&amp;DEC2HEX(HEX2DEC(D$1)+SUM($C$2:C179))</f>
        <v>0x4201A32E</v>
      </c>
    </row>
    <row r="180" spans="2:4" x14ac:dyDescent="0.2">
      <c r="B180" t="s">
        <v>1017</v>
      </c>
      <c r="C180">
        <v>68</v>
      </c>
      <c r="D180" s="11" t="str">
        <f>"0x"&amp;DEC2HEX(HEX2DEC(D$1)+SUM($C$2:C180))</f>
        <v>0x4201A372</v>
      </c>
    </row>
    <row r="181" spans="2:4" x14ac:dyDescent="0.2">
      <c r="B181" t="s">
        <v>1018</v>
      </c>
      <c r="C181">
        <v>208</v>
      </c>
      <c r="D181" s="11" t="str">
        <f>"0x"&amp;DEC2HEX(HEX2DEC(D$1)+SUM($C$2:C181))</f>
        <v>0x4201A442</v>
      </c>
    </row>
    <row r="182" spans="2:4" x14ac:dyDescent="0.2">
      <c r="B182" t="s">
        <v>1019</v>
      </c>
      <c r="C182">
        <v>2</v>
      </c>
      <c r="D182" s="11" t="str">
        <f>"0x"&amp;DEC2HEX(HEX2DEC(D$1)+SUM($C$2:C182))</f>
        <v>0x4201A444</v>
      </c>
    </row>
    <row r="183" spans="2:4" x14ac:dyDescent="0.2">
      <c r="B183" t="s">
        <v>1020</v>
      </c>
      <c r="C183">
        <v>46</v>
      </c>
      <c r="D183" s="11" t="str">
        <f>"0x"&amp;DEC2HEX(HEX2DEC(D$1)+SUM($C$2:C183))</f>
        <v>0x4201A472</v>
      </c>
    </row>
    <row r="184" spans="2:4" x14ac:dyDescent="0.2">
      <c r="B184" t="s">
        <v>1021</v>
      </c>
      <c r="C184">
        <v>176</v>
      </c>
      <c r="D184" s="11" t="str">
        <f>"0x"&amp;DEC2HEX(HEX2DEC(D$1)+SUM($C$2:C184))</f>
        <v>0x4201A522</v>
      </c>
    </row>
    <row r="185" spans="2:4" x14ac:dyDescent="0.2">
      <c r="B185" t="s">
        <v>1022</v>
      </c>
      <c r="C185">
        <v>290</v>
      </c>
      <c r="D185" s="11" t="str">
        <f>"0x"&amp;DEC2HEX(HEX2DEC(D$1)+SUM($C$2:C185))</f>
        <v>0x4201A644</v>
      </c>
    </row>
    <row r="186" spans="2:4" x14ac:dyDescent="0.2">
      <c r="B186" t="s">
        <v>1023</v>
      </c>
      <c r="C186">
        <v>1902</v>
      </c>
      <c r="D186" s="11" t="str">
        <f>"0x"&amp;DEC2HEX(HEX2DEC(D$1)+SUM($C$2:C186))</f>
        <v>0x4201ADB2</v>
      </c>
    </row>
    <row r="187" spans="2:4" x14ac:dyDescent="0.2">
      <c r="B187" t="s">
        <v>1024</v>
      </c>
      <c r="C187">
        <v>60</v>
      </c>
      <c r="D187" s="11" t="str">
        <f>"0x"&amp;DEC2HEX(HEX2DEC(D$1)+SUM($C$2:C187))</f>
        <v>0x4201ADEE</v>
      </c>
    </row>
    <row r="188" spans="2:4" x14ac:dyDescent="0.2">
      <c r="B188" t="s">
        <v>1025</v>
      </c>
      <c r="C188">
        <v>276</v>
      </c>
      <c r="D188" s="11" t="str">
        <f>"0x"&amp;DEC2HEX(HEX2DEC(D$1)+SUM($C$2:C188))</f>
        <v>0x4201AF02</v>
      </c>
    </row>
    <row r="189" spans="2:4" x14ac:dyDescent="0.2">
      <c r="B189" t="s">
        <v>1026</v>
      </c>
      <c r="C189">
        <v>214</v>
      </c>
      <c r="D189" s="11" t="str">
        <f>"0x"&amp;DEC2HEX(HEX2DEC(D$1)+SUM($C$2:C189))</f>
        <v>0x4201AFD8</v>
      </c>
    </row>
    <row r="190" spans="2:4" x14ac:dyDescent="0.2">
      <c r="B190" t="s">
        <v>1027</v>
      </c>
      <c r="C190">
        <v>456</v>
      </c>
      <c r="D190" s="11" t="str">
        <f>"0x"&amp;DEC2HEX(HEX2DEC(D$1)+SUM($C$2:C190))</f>
        <v>0x4201B1A0</v>
      </c>
    </row>
    <row r="191" spans="2:4" x14ac:dyDescent="0.2">
      <c r="B191" t="s">
        <v>1028</v>
      </c>
      <c r="C191">
        <v>76</v>
      </c>
      <c r="D191" s="11" t="str">
        <f>"0x"&amp;DEC2HEX(HEX2DEC(D$1)+SUM($C$2:C191))</f>
        <v>0x4201B1EC</v>
      </c>
    </row>
    <row r="192" spans="2:4" x14ac:dyDescent="0.2">
      <c r="B192" t="s">
        <v>1029</v>
      </c>
      <c r="C192">
        <v>100</v>
      </c>
      <c r="D192" s="11" t="str">
        <f>"0x"&amp;DEC2HEX(HEX2DEC(D$1)+SUM($C$2:C192))</f>
        <v>0x4201B250</v>
      </c>
    </row>
    <row r="193" spans="1:4" x14ac:dyDescent="0.2">
      <c r="B193" t="s">
        <v>1030</v>
      </c>
      <c r="C193">
        <v>140</v>
      </c>
      <c r="D193" s="11" t="str">
        <f>"0x"&amp;DEC2HEX(HEX2DEC(D$1)+SUM($C$2:C193))</f>
        <v>0x4201B2DC</v>
      </c>
    </row>
    <row r="194" spans="1:4" x14ac:dyDescent="0.2">
      <c r="B194" t="s">
        <v>1031</v>
      </c>
      <c r="C194">
        <v>188</v>
      </c>
      <c r="D194" s="11" t="str">
        <f>"0x"&amp;DEC2HEX(HEX2DEC(D$1)+SUM($C$2:C194))</f>
        <v>0x4201B398</v>
      </c>
    </row>
    <row r="195" spans="1:4" x14ac:dyDescent="0.2">
      <c r="B195" t="s">
        <v>1032</v>
      </c>
      <c r="C195">
        <v>340</v>
      </c>
      <c r="D195" s="11" t="str">
        <f>"0x"&amp;DEC2HEX(HEX2DEC(D$1)+SUM($C$2:C195))</f>
        <v>0x4201B4EC</v>
      </c>
    </row>
    <row r="196" spans="1:4" x14ac:dyDescent="0.2">
      <c r="B196" t="s">
        <v>1033</v>
      </c>
      <c r="C196">
        <v>212</v>
      </c>
      <c r="D196" s="11" t="str">
        <f>"0x"&amp;DEC2HEX(HEX2DEC(D$1)+SUM($C$2:C196))</f>
        <v>0x4201B5C0</v>
      </c>
    </row>
    <row r="197" spans="1:4" x14ac:dyDescent="0.2">
      <c r="B197" t="s">
        <v>1034</v>
      </c>
      <c r="C197">
        <v>242</v>
      </c>
      <c r="D197" s="11" t="str">
        <f>"0x"&amp;DEC2HEX(HEX2DEC(D$1)+SUM($C$2:C197))</f>
        <v>0x4201B6B2</v>
      </c>
    </row>
    <row r="198" spans="1:4" x14ac:dyDescent="0.2">
      <c r="B198" t="s">
        <v>1035</v>
      </c>
      <c r="C198">
        <v>84</v>
      </c>
      <c r="D198" s="11" t="str">
        <f>"0x"&amp;DEC2HEX(HEX2DEC(D$1)+SUM($C$2:C198))</f>
        <v>0x4201B706</v>
      </c>
    </row>
    <row r="199" spans="1:4" x14ac:dyDescent="0.2">
      <c r="B199" t="s">
        <v>1036</v>
      </c>
      <c r="C199">
        <v>144</v>
      </c>
      <c r="D199" s="11" t="str">
        <f>"0x"&amp;DEC2HEX(HEX2DEC(D$1)+SUM($C$2:C199))</f>
        <v>0x4201B796</v>
      </c>
    </row>
    <row r="200" spans="1:4" x14ac:dyDescent="0.2">
      <c r="B200" t="s">
        <v>1037</v>
      </c>
      <c r="C200">
        <v>10</v>
      </c>
      <c r="D200" s="11" t="str">
        <f>"0x"&amp;DEC2HEX(HEX2DEC(D$1)+SUM($C$2:C200))</f>
        <v>0x4201B7A0</v>
      </c>
    </row>
    <row r="201" spans="1:4" x14ac:dyDescent="0.2">
      <c r="A201" t="s">
        <v>234</v>
      </c>
      <c r="D201" s="11"/>
    </row>
    <row r="202" spans="1:4" x14ac:dyDescent="0.2">
      <c r="B202" t="s">
        <v>1038</v>
      </c>
      <c r="C202">
        <v>22</v>
      </c>
      <c r="D202" s="11" t="str">
        <f>"0x"&amp;DEC2HEX(HEX2DEC(D$1)+SUM($C$2:C202))</f>
        <v>0x4201B7B6</v>
      </c>
    </row>
    <row r="203" spans="1:4" x14ac:dyDescent="0.2">
      <c r="B203" t="s">
        <v>1039</v>
      </c>
      <c r="C203">
        <v>2</v>
      </c>
      <c r="D203" s="11" t="str">
        <f>"0x"&amp;DEC2HEX(HEX2DEC(D$1)+SUM($C$2:C203))</f>
        <v>0x4201B7B8</v>
      </c>
    </row>
    <row r="204" spans="1:4" x14ac:dyDescent="0.2">
      <c r="A204" t="s">
        <v>1040</v>
      </c>
      <c r="D204" s="11"/>
    </row>
    <row r="205" spans="1:4" x14ac:dyDescent="0.2">
      <c r="A205" t="s">
        <v>1041</v>
      </c>
      <c r="D205" s="11"/>
    </row>
    <row r="206" spans="1:4" x14ac:dyDescent="0.2">
      <c r="A206" t="s">
        <v>1042</v>
      </c>
      <c r="D206" s="11"/>
    </row>
    <row r="207" spans="1:4" x14ac:dyDescent="0.2">
      <c r="A207" t="s">
        <v>162</v>
      </c>
      <c r="D207" s="11"/>
    </row>
    <row r="208" spans="1:4" x14ac:dyDescent="0.2">
      <c r="B208" t="s">
        <v>1043</v>
      </c>
      <c r="C208">
        <v>22</v>
      </c>
      <c r="D208" s="11" t="str">
        <f>"0x"&amp;DEC2HEX(HEX2DEC(D$1)+SUM($C$2:C208))</f>
        <v>0x4201B7CE</v>
      </c>
    </row>
    <row r="209" spans="1:4" x14ac:dyDescent="0.2">
      <c r="B209" t="s">
        <v>1044</v>
      </c>
      <c r="C209">
        <v>22</v>
      </c>
      <c r="D209" s="11" t="str">
        <f>"0x"&amp;DEC2HEX(HEX2DEC(D$1)+SUM($C$2:C209))</f>
        <v>0x4201B7E4</v>
      </c>
    </row>
    <row r="210" spans="1:4" x14ac:dyDescent="0.2">
      <c r="B210" t="s">
        <v>1045</v>
      </c>
      <c r="C210">
        <v>22</v>
      </c>
      <c r="D210" s="11" t="str">
        <f>"0x"&amp;DEC2HEX(HEX2DEC(D$1)+SUM($C$2:C210))</f>
        <v>0x4201B7FA</v>
      </c>
    </row>
    <row r="211" spans="1:4" x14ac:dyDescent="0.2">
      <c r="B211" t="s">
        <v>1046</v>
      </c>
      <c r="C211">
        <v>22</v>
      </c>
      <c r="D211" s="11" t="str">
        <f>"0x"&amp;DEC2HEX(HEX2DEC(D$1)+SUM($C$2:C211))</f>
        <v>0x4201B810</v>
      </c>
    </row>
    <row r="212" spans="1:4" x14ac:dyDescent="0.2">
      <c r="B212" t="s">
        <v>1047</v>
      </c>
      <c r="C212">
        <v>18</v>
      </c>
      <c r="D212" s="11" t="str">
        <f>"0x"&amp;DEC2HEX(HEX2DEC(D$1)+SUM($C$2:C212))</f>
        <v>0x4201B822</v>
      </c>
    </row>
    <row r="213" spans="1:4" x14ac:dyDescent="0.2">
      <c r="B213" t="s">
        <v>1048</v>
      </c>
      <c r="C213">
        <v>18</v>
      </c>
      <c r="D213" s="11" t="str">
        <f>"0x"&amp;DEC2HEX(HEX2DEC(D$1)+SUM($C$2:C213))</f>
        <v>0x4201B834</v>
      </c>
    </row>
    <row r="214" spans="1:4" x14ac:dyDescent="0.2">
      <c r="B214" t="s">
        <v>1049</v>
      </c>
      <c r="C214">
        <v>18</v>
      </c>
      <c r="D214" s="11" t="str">
        <f>"0x"&amp;DEC2HEX(HEX2DEC(D$1)+SUM($C$2:C214))</f>
        <v>0x4201B846</v>
      </c>
    </row>
    <row r="215" spans="1:4" x14ac:dyDescent="0.2">
      <c r="B215" t="s">
        <v>1050</v>
      </c>
      <c r="C215">
        <v>18</v>
      </c>
      <c r="D215" s="11" t="str">
        <f>"0x"&amp;DEC2HEX(HEX2DEC(D$1)+SUM($C$2:C215))</f>
        <v>0x4201B858</v>
      </c>
    </row>
    <row r="216" spans="1:4" x14ac:dyDescent="0.2">
      <c r="B216" t="s">
        <v>1051</v>
      </c>
      <c r="C216">
        <v>18</v>
      </c>
      <c r="D216" s="11" t="str">
        <f>"0x"&amp;DEC2HEX(HEX2DEC(D$1)+SUM($C$2:C216))</f>
        <v>0x4201B86A</v>
      </c>
    </row>
    <row r="217" spans="1:4" x14ac:dyDescent="0.2">
      <c r="B217" t="s">
        <v>1052</v>
      </c>
      <c r="C217">
        <v>18</v>
      </c>
      <c r="D217" s="11" t="str">
        <f>"0x"&amp;DEC2HEX(HEX2DEC(D$1)+SUM($C$2:C217))</f>
        <v>0x4201B87C</v>
      </c>
    </row>
    <row r="218" spans="1:4" x14ac:dyDescent="0.2">
      <c r="B218" t="s">
        <v>1053</v>
      </c>
      <c r="C218">
        <v>12</v>
      </c>
      <c r="D218" s="11" t="str">
        <f>"0x"&amp;DEC2HEX(HEX2DEC(D$1)+SUM($C$2:C218))</f>
        <v>0x4201B888</v>
      </c>
    </row>
    <row r="219" spans="1:4" x14ac:dyDescent="0.2">
      <c r="B219" t="s">
        <v>1054</v>
      </c>
      <c r="C219">
        <v>24</v>
      </c>
      <c r="D219" s="11" t="str">
        <f>"0x"&amp;DEC2HEX(HEX2DEC(D$1)+SUM($C$2:C219))</f>
        <v>0x4201B8A0</v>
      </c>
    </row>
    <row r="220" spans="1:4" x14ac:dyDescent="0.2">
      <c r="A220" t="s">
        <v>1055</v>
      </c>
      <c r="D220" s="11"/>
    </row>
    <row r="221" spans="1:4" x14ac:dyDescent="0.2">
      <c r="A221" t="s">
        <v>1059</v>
      </c>
      <c r="D221" s="11"/>
    </row>
    <row r="222" spans="1:4" x14ac:dyDescent="0.2">
      <c r="B222" t="s">
        <v>1056</v>
      </c>
      <c r="C222">
        <v>122</v>
      </c>
      <c r="D222" s="11" t="str">
        <f>"0x"&amp;DEC2HEX(HEX2DEC(D$1)+SUM($C$2:C222))</f>
        <v>0x4201B91A</v>
      </c>
    </row>
    <row r="223" spans="1:4" x14ac:dyDescent="0.2">
      <c r="B223" t="s">
        <v>1057</v>
      </c>
      <c r="C223">
        <v>4</v>
      </c>
      <c r="D223" s="11" t="str">
        <f>"0x"&amp;DEC2HEX(HEX2DEC(D$1)+SUM($C$2:C223))</f>
        <v>0x4201B91E</v>
      </c>
    </row>
    <row r="224" spans="1:4" x14ac:dyDescent="0.2">
      <c r="B224" t="s">
        <v>1058</v>
      </c>
      <c r="C224">
        <v>96</v>
      </c>
      <c r="D224" s="11" t="str">
        <f>"0x"&amp;DEC2HEX(HEX2DEC(D$1)+SUM($C$2:C224))</f>
        <v>0x4201B97E</v>
      </c>
    </row>
    <row r="225" spans="1:4" x14ac:dyDescent="0.2">
      <c r="A225" t="s">
        <v>42</v>
      </c>
      <c r="D225" s="11"/>
    </row>
    <row r="226" spans="1:4" x14ac:dyDescent="0.2">
      <c r="B226" t="s">
        <v>1060</v>
      </c>
      <c r="C226">
        <v>82</v>
      </c>
      <c r="D226" s="11" t="str">
        <f>"0x"&amp;DEC2HEX(HEX2DEC(D$1)+SUM($C$2:C226))</f>
        <v>0x4201B9D0</v>
      </c>
    </row>
    <row r="227" spans="1:4" x14ac:dyDescent="0.2">
      <c r="B227" t="s">
        <v>1061</v>
      </c>
      <c r="C227">
        <v>30</v>
      </c>
      <c r="D227" s="11" t="str">
        <f>"0x"&amp;DEC2HEX(HEX2DEC(D$1)+SUM($C$2:C227))</f>
        <v>0x4201B9EE</v>
      </c>
    </row>
    <row r="228" spans="1:4" x14ac:dyDescent="0.2">
      <c r="B228" t="s">
        <v>1062</v>
      </c>
      <c r="C228">
        <v>30</v>
      </c>
      <c r="D228" s="11" t="str">
        <f>"0x"&amp;DEC2HEX(HEX2DEC(D$1)+SUM($C$2:C228))</f>
        <v>0x4201BA0C</v>
      </c>
    </row>
    <row r="229" spans="1:4" x14ac:dyDescent="0.2">
      <c r="B229" t="s">
        <v>1063</v>
      </c>
      <c r="C229">
        <v>30</v>
      </c>
      <c r="D229" s="11" t="str">
        <f>"0x"&amp;DEC2HEX(HEX2DEC(D$1)+SUM($C$2:C229))</f>
        <v>0x4201BA2A</v>
      </c>
    </row>
    <row r="230" spans="1:4" x14ac:dyDescent="0.2">
      <c r="B230" t="s">
        <v>1064</v>
      </c>
      <c r="C230">
        <v>20</v>
      </c>
      <c r="D230" s="11" t="str">
        <f>"0x"&amp;DEC2HEX(HEX2DEC(D$1)+SUM($C$2:C230))</f>
        <v>0x4201BA3E</v>
      </c>
    </row>
    <row r="231" spans="1:4" x14ac:dyDescent="0.2">
      <c r="B231" t="s">
        <v>1065</v>
      </c>
      <c r="C231">
        <v>174</v>
      </c>
      <c r="D231" s="11" t="str">
        <f>"0x"&amp;DEC2HEX(HEX2DEC(D$1)+SUM($C$2:C231))</f>
        <v>0x4201BAEC</v>
      </c>
    </row>
    <row r="232" spans="1:4" x14ac:dyDescent="0.2">
      <c r="B232" t="s">
        <v>1066</v>
      </c>
      <c r="C232">
        <v>130</v>
      </c>
      <c r="D232" s="11" t="str">
        <f>"0x"&amp;DEC2HEX(HEX2DEC(D$1)+SUM($C$2:C232))</f>
        <v>0x4201BB6E</v>
      </c>
    </row>
    <row r="233" spans="1:4" x14ac:dyDescent="0.2">
      <c r="B233" t="s">
        <v>1067</v>
      </c>
      <c r="C233">
        <v>120</v>
      </c>
      <c r="D233" s="11" t="str">
        <f>"0x"&amp;DEC2HEX(HEX2DEC(D$1)+SUM($C$2:C233))</f>
        <v>0x4201BBE6</v>
      </c>
    </row>
    <row r="234" spans="1:4" x14ac:dyDescent="0.2">
      <c r="B234" t="s">
        <v>1068</v>
      </c>
      <c r="C234">
        <v>72</v>
      </c>
      <c r="D234" s="11" t="str">
        <f>"0x"&amp;DEC2HEX(HEX2DEC(D$1)+SUM($C$2:C234))</f>
        <v>0x4201BC2E</v>
      </c>
    </row>
    <row r="235" spans="1:4" x14ac:dyDescent="0.2">
      <c r="B235" t="s">
        <v>1069</v>
      </c>
      <c r="C235">
        <v>16</v>
      </c>
      <c r="D235" s="11" t="str">
        <f>"0x"&amp;DEC2HEX(HEX2DEC(D$1)+SUM($C$2:C235))</f>
        <v>0x4201BC3E</v>
      </c>
    </row>
    <row r="236" spans="1:4" x14ac:dyDescent="0.2">
      <c r="B236" t="s">
        <v>1070</v>
      </c>
      <c r="C236">
        <v>34</v>
      </c>
      <c r="D236" s="11" t="str">
        <f>"0x"&amp;DEC2HEX(HEX2DEC(D$1)+SUM($C$2:C236))</f>
        <v>0x4201BC60</v>
      </c>
    </row>
    <row r="237" spans="1:4" x14ac:dyDescent="0.2">
      <c r="B237" t="s">
        <v>1071</v>
      </c>
      <c r="C237">
        <v>776</v>
      </c>
      <c r="D237" s="11" t="str">
        <f>"0x"&amp;DEC2HEX(HEX2DEC(D$1)+SUM($C$2:C237))</f>
        <v>0x4201BF68</v>
      </c>
    </row>
    <row r="238" spans="1:4" x14ac:dyDescent="0.2">
      <c r="B238" t="s">
        <v>1072</v>
      </c>
      <c r="C238">
        <v>122</v>
      </c>
      <c r="D238" s="11" t="str">
        <f>"0x"&amp;DEC2HEX(HEX2DEC(D$1)+SUM($C$2:C238))</f>
        <v>0x4201BFE2</v>
      </c>
    </row>
    <row r="239" spans="1:4" x14ac:dyDescent="0.2">
      <c r="B239" t="s">
        <v>1073</v>
      </c>
      <c r="C239">
        <v>24</v>
      </c>
      <c r="D239" s="11" t="str">
        <f>"0x"&amp;DEC2HEX(HEX2DEC(D$1)+SUM($C$2:C239))</f>
        <v>0x4201BFFA</v>
      </c>
    </row>
    <row r="240" spans="1:4" x14ac:dyDescent="0.2">
      <c r="B240" t="s">
        <v>1074</v>
      </c>
      <c r="C240">
        <v>10</v>
      </c>
      <c r="D240" s="11" t="str">
        <f>"0x"&amp;DEC2HEX(HEX2DEC(D$1)+SUM($C$2:C240))</f>
        <v>0x4201C004</v>
      </c>
    </row>
    <row r="241" spans="1:4" x14ac:dyDescent="0.2">
      <c r="B241" t="s">
        <v>1075</v>
      </c>
      <c r="C241">
        <v>578</v>
      </c>
      <c r="D241" s="11" t="str">
        <f>"0x"&amp;DEC2HEX(HEX2DEC(D$1)+SUM($C$2:C241))</f>
        <v>0x4201C246</v>
      </c>
    </row>
    <row r="242" spans="1:4" x14ac:dyDescent="0.2">
      <c r="B242" t="s">
        <v>1076</v>
      </c>
      <c r="C242">
        <v>224</v>
      </c>
      <c r="D242" s="11" t="str">
        <f>"0x"&amp;DEC2HEX(HEX2DEC(D$1)+SUM($C$2:C242))</f>
        <v>0x4201C326</v>
      </c>
    </row>
    <row r="243" spans="1:4" x14ac:dyDescent="0.2">
      <c r="B243" t="s">
        <v>1077</v>
      </c>
      <c r="C243">
        <v>112</v>
      </c>
      <c r="D243" s="11" t="str">
        <f>"0x"&amp;DEC2HEX(HEX2DEC(D$1)+SUM($C$2:C243))</f>
        <v>0x4201C396</v>
      </c>
    </row>
    <row r="244" spans="1:4" x14ac:dyDescent="0.2">
      <c r="B244" t="s">
        <v>1078</v>
      </c>
      <c r="C244">
        <v>142</v>
      </c>
      <c r="D244" s="11" t="str">
        <f>"0x"&amp;DEC2HEX(HEX2DEC(D$1)+SUM($C$2:C244))</f>
        <v>0x4201C424</v>
      </c>
    </row>
    <row r="245" spans="1:4" x14ac:dyDescent="0.2">
      <c r="B245" t="s">
        <v>1079</v>
      </c>
      <c r="C245">
        <v>26</v>
      </c>
      <c r="D245" s="11" t="str">
        <f>"0x"&amp;DEC2HEX(HEX2DEC(D$1)+SUM($C$2:C245))</f>
        <v>0x4201C43E</v>
      </c>
    </row>
    <row r="246" spans="1:4" x14ac:dyDescent="0.2">
      <c r="B246" t="s">
        <v>1080</v>
      </c>
      <c r="C246">
        <v>174</v>
      </c>
      <c r="D246" s="11" t="str">
        <f>"0x"&amp;DEC2HEX(HEX2DEC(D$1)+SUM($C$2:C246))</f>
        <v>0x4201C4EC</v>
      </c>
    </row>
    <row r="247" spans="1:4" x14ac:dyDescent="0.2">
      <c r="B247" t="s">
        <v>1081</v>
      </c>
      <c r="C247">
        <v>142</v>
      </c>
      <c r="D247" s="11" t="str">
        <f>"0x"&amp;DEC2HEX(HEX2DEC(D$1)+SUM($C$2:C247))</f>
        <v>0x4201C57A</v>
      </c>
    </row>
    <row r="248" spans="1:4" x14ac:dyDescent="0.2">
      <c r="B248" t="s">
        <v>1082</v>
      </c>
      <c r="C248">
        <v>64</v>
      </c>
      <c r="D248" s="11" t="str">
        <f>"0x"&amp;DEC2HEX(HEX2DEC(D$1)+SUM($C$2:C248))</f>
        <v>0x4201C5BA</v>
      </c>
    </row>
    <row r="249" spans="1:4" x14ac:dyDescent="0.2">
      <c r="B249" t="s">
        <v>1083</v>
      </c>
      <c r="C249">
        <v>108</v>
      </c>
      <c r="D249" s="11" t="str">
        <f>"0x"&amp;DEC2HEX(HEX2DEC(D$1)+SUM($C$2:C249))</f>
        <v>0x4201C626</v>
      </c>
    </row>
    <row r="250" spans="1:4" x14ac:dyDescent="0.2">
      <c r="B250" t="s">
        <v>1084</v>
      </c>
      <c r="C250">
        <v>272</v>
      </c>
      <c r="D250" s="11" t="str">
        <f>"0x"&amp;DEC2HEX(HEX2DEC(D$1)+SUM($C$2:C250))</f>
        <v>0x4201C736</v>
      </c>
    </row>
    <row r="251" spans="1:4" x14ac:dyDescent="0.2">
      <c r="A251" t="s">
        <v>137</v>
      </c>
      <c r="D251" s="11"/>
    </row>
    <row r="252" spans="1:4" x14ac:dyDescent="0.2">
      <c r="B252" t="s">
        <v>1085</v>
      </c>
      <c r="C252">
        <v>4</v>
      </c>
      <c r="D252" s="11" t="str">
        <f>"0x"&amp;DEC2HEX(HEX2DEC(D$1)+SUM($C$2:C252))</f>
        <v>0x4201C73A</v>
      </c>
    </row>
    <row r="253" spans="1:4" x14ac:dyDescent="0.2">
      <c r="B253" t="s">
        <v>1086</v>
      </c>
      <c r="C253">
        <v>16</v>
      </c>
      <c r="D253" s="11" t="str">
        <f>"0x"&amp;DEC2HEX(HEX2DEC(D$1)+SUM($C$2:C253))</f>
        <v>0x4201C74A</v>
      </c>
    </row>
    <row r="254" spans="1:4" x14ac:dyDescent="0.2">
      <c r="B254" t="s">
        <v>1087</v>
      </c>
      <c r="C254">
        <v>350</v>
      </c>
      <c r="D254" s="11" t="str">
        <f>"0x"&amp;DEC2HEX(HEX2DEC(D$1)+SUM($C$2:C254))</f>
        <v>0x4201C8A8</v>
      </c>
    </row>
    <row r="255" spans="1:4" x14ac:dyDescent="0.2">
      <c r="B255" t="s">
        <v>1088</v>
      </c>
      <c r="C255">
        <v>652</v>
      </c>
      <c r="D255" s="11" t="str">
        <f>"0x"&amp;DEC2HEX(HEX2DEC(D$1)+SUM($C$2:C255))</f>
        <v>0x4201CB34</v>
      </c>
    </row>
    <row r="256" spans="1:4" x14ac:dyDescent="0.2">
      <c r="B256" t="s">
        <v>1089</v>
      </c>
      <c r="C256">
        <v>266</v>
      </c>
      <c r="D256" s="11" t="str">
        <f>"0x"&amp;DEC2HEX(HEX2DEC(D$1)+SUM($C$2:C256))</f>
        <v>0x4201CC3E</v>
      </c>
    </row>
    <row r="257" spans="2:4" x14ac:dyDescent="0.2">
      <c r="B257" t="s">
        <v>1090</v>
      </c>
      <c r="C257">
        <v>180</v>
      </c>
      <c r="D257" s="11" t="str">
        <f>"0x"&amp;DEC2HEX(HEX2DEC(D$1)+SUM($C$2:C257))</f>
        <v>0x4201CCF2</v>
      </c>
    </row>
    <row r="258" spans="2:4" x14ac:dyDescent="0.2">
      <c r="B258" t="s">
        <v>1091</v>
      </c>
      <c r="C258">
        <v>26</v>
      </c>
      <c r="D258" s="11" t="str">
        <f>"0x"&amp;DEC2HEX(HEX2DEC(D$1)+SUM($C$2:C258))</f>
        <v>0x4201CD0C</v>
      </c>
    </row>
    <row r="259" spans="2:4" x14ac:dyDescent="0.2">
      <c r="B259" t="s">
        <v>1092</v>
      </c>
      <c r="C259">
        <v>2</v>
      </c>
      <c r="D259" s="11" t="str">
        <f>"0x"&amp;DEC2HEX(HEX2DEC(D$1)+SUM($C$2:C259))</f>
        <v>0x4201CD0E</v>
      </c>
    </row>
    <row r="260" spans="2:4" x14ac:dyDescent="0.2">
      <c r="B260" t="s">
        <v>1093</v>
      </c>
      <c r="C260">
        <v>10</v>
      </c>
      <c r="D260" s="11" t="str">
        <f>"0x"&amp;DEC2HEX(HEX2DEC(D$1)+SUM($C$2:C260))</f>
        <v>0x4201CD18</v>
      </c>
    </row>
    <row r="261" spans="2:4" x14ac:dyDescent="0.2">
      <c r="B261" t="s">
        <v>1094</v>
      </c>
      <c r="C261">
        <v>6</v>
      </c>
      <c r="D261" s="11" t="str">
        <f>"0x"&amp;DEC2HEX(HEX2DEC(D$1)+SUM($C$2:C261))</f>
        <v>0x4201CD1E</v>
      </c>
    </row>
    <row r="262" spans="2:4" x14ac:dyDescent="0.2">
      <c r="B262" t="s">
        <v>1095</v>
      </c>
      <c r="C262">
        <v>10</v>
      </c>
      <c r="D262" s="11" t="str">
        <f>"0x"&amp;DEC2HEX(HEX2DEC(D$1)+SUM($C$2:C262))</f>
        <v>0x4201CD28</v>
      </c>
    </row>
    <row r="263" spans="2:4" x14ac:dyDescent="0.2">
      <c r="B263" t="s">
        <v>1096</v>
      </c>
      <c r="C263">
        <v>80</v>
      </c>
      <c r="D263" s="11" t="str">
        <f>"0x"&amp;DEC2HEX(HEX2DEC(D$1)+SUM($C$2:C263))</f>
        <v>0x4201CD78</v>
      </c>
    </row>
    <row r="264" spans="2:4" x14ac:dyDescent="0.2">
      <c r="B264" t="s">
        <v>1097</v>
      </c>
      <c r="C264">
        <v>46</v>
      </c>
      <c r="D264" s="11" t="str">
        <f>"0x"&amp;DEC2HEX(HEX2DEC(D$1)+SUM($C$2:C264))</f>
        <v>0x4201CDA6</v>
      </c>
    </row>
    <row r="265" spans="2:4" x14ac:dyDescent="0.2">
      <c r="B265" t="s">
        <v>1098</v>
      </c>
      <c r="C265">
        <v>56</v>
      </c>
      <c r="D265" s="11" t="str">
        <f>"0x"&amp;DEC2HEX(HEX2DEC(D$1)+SUM($C$2:C265))</f>
        <v>0x4201CDDE</v>
      </c>
    </row>
    <row r="266" spans="2:4" x14ac:dyDescent="0.2">
      <c r="B266" t="s">
        <v>1099</v>
      </c>
      <c r="C266">
        <v>104</v>
      </c>
      <c r="D266" s="11" t="str">
        <f>"0x"&amp;DEC2HEX(HEX2DEC(D$1)+SUM($C$2:C266))</f>
        <v>0x4201CE46</v>
      </c>
    </row>
    <row r="267" spans="2:4" x14ac:dyDescent="0.2">
      <c r="B267" t="s">
        <v>1100</v>
      </c>
      <c r="C267">
        <v>16</v>
      </c>
      <c r="D267" s="11" t="str">
        <f>"0x"&amp;DEC2HEX(HEX2DEC(D$1)+SUM($C$2:C267))</f>
        <v>0x4201CE56</v>
      </c>
    </row>
    <row r="268" spans="2:4" x14ac:dyDescent="0.2">
      <c r="B268" t="s">
        <v>1101</v>
      </c>
      <c r="C268">
        <v>16</v>
      </c>
      <c r="D268" s="11" t="str">
        <f>"0x"&amp;DEC2HEX(HEX2DEC(D$1)+SUM($C$2:C268))</f>
        <v>0x4201CE66</v>
      </c>
    </row>
    <row r="269" spans="2:4" x14ac:dyDescent="0.2">
      <c r="B269" t="s">
        <v>1102</v>
      </c>
      <c r="C269">
        <v>28</v>
      </c>
      <c r="D269" s="11" t="str">
        <f>"0x"&amp;DEC2HEX(HEX2DEC(D$1)+SUM($C$2:C269))</f>
        <v>0x4201CE82</v>
      </c>
    </row>
    <row r="270" spans="2:4" x14ac:dyDescent="0.2">
      <c r="B270" t="s">
        <v>1103</v>
      </c>
      <c r="C270">
        <v>186</v>
      </c>
      <c r="D270" s="11" t="str">
        <f>"0x"&amp;DEC2HEX(HEX2DEC(D$1)+SUM($C$2:C270))</f>
        <v>0x4201CF3C</v>
      </c>
    </row>
    <row r="271" spans="2:4" x14ac:dyDescent="0.2">
      <c r="B271" t="s">
        <v>1104</v>
      </c>
      <c r="C271">
        <v>130</v>
      </c>
      <c r="D271" s="11" t="str">
        <f>"0x"&amp;DEC2HEX(HEX2DEC(D$1)+SUM($C$2:C271))</f>
        <v>0x4201CFBE</v>
      </c>
    </row>
    <row r="272" spans="2:4" x14ac:dyDescent="0.2">
      <c r="B272" t="s">
        <v>1105</v>
      </c>
      <c r="C272">
        <v>544</v>
      </c>
      <c r="D272" s="11" t="str">
        <f>"0x"&amp;DEC2HEX(HEX2DEC(D$1)+SUM($C$2:C272))</f>
        <v>0x4201D1DE</v>
      </c>
    </row>
    <row r="273" spans="1:4" x14ac:dyDescent="0.2">
      <c r="B273" t="s">
        <v>1106</v>
      </c>
      <c r="C273">
        <v>4</v>
      </c>
      <c r="D273" s="11" t="str">
        <f>"0x"&amp;DEC2HEX(HEX2DEC(D$1)+SUM($C$2:C273))</f>
        <v>0x4201D1E2</v>
      </c>
    </row>
    <row r="274" spans="1:4" x14ac:dyDescent="0.2">
      <c r="B274" t="s">
        <v>1107</v>
      </c>
      <c r="C274">
        <v>4</v>
      </c>
      <c r="D274" s="11" t="str">
        <f>"0x"&amp;DEC2HEX(HEX2DEC(D$1)+SUM($C$2:C274))</f>
        <v>0x4201D1E6</v>
      </c>
    </row>
    <row r="275" spans="1:4" x14ac:dyDescent="0.2">
      <c r="B275" t="s">
        <v>1108</v>
      </c>
      <c r="C275">
        <v>126</v>
      </c>
      <c r="D275" s="11" t="str">
        <f>"0x"&amp;DEC2HEX(HEX2DEC(D$1)+SUM($C$2:C275))</f>
        <v>0x4201D264</v>
      </c>
    </row>
    <row r="276" spans="1:4" x14ac:dyDescent="0.2">
      <c r="B276" t="s">
        <v>1109</v>
      </c>
      <c r="C276">
        <v>40</v>
      </c>
      <c r="D276" s="11" t="str">
        <f>"0x"&amp;DEC2HEX(HEX2DEC(D$1)+SUM($C$2:C276))</f>
        <v>0x4201D28C</v>
      </c>
    </row>
    <row r="277" spans="1:4" x14ac:dyDescent="0.2">
      <c r="B277" t="s">
        <v>1110</v>
      </c>
      <c r="C277">
        <v>74</v>
      </c>
      <c r="D277" s="11" t="str">
        <f>"0x"&amp;DEC2HEX(HEX2DEC(D$1)+SUM($C$2:C277))</f>
        <v>0x4201D2D6</v>
      </c>
    </row>
    <row r="278" spans="1:4" x14ac:dyDescent="0.2">
      <c r="B278" t="s">
        <v>1111</v>
      </c>
      <c r="C278">
        <v>32</v>
      </c>
      <c r="D278" s="11" t="str">
        <f>"0x"&amp;DEC2HEX(HEX2DEC(D$1)+SUM($C$2:C278))</f>
        <v>0x4201D2F6</v>
      </c>
    </row>
    <row r="279" spans="1:4" x14ac:dyDescent="0.2">
      <c r="B279" t="s">
        <v>1112</v>
      </c>
      <c r="C279">
        <v>4</v>
      </c>
      <c r="D279" s="11" t="str">
        <f>"0x"&amp;DEC2HEX(HEX2DEC(D$1)+SUM($C$2:C279))</f>
        <v>0x4201D2FA</v>
      </c>
    </row>
    <row r="280" spans="1:4" x14ac:dyDescent="0.2">
      <c r="B280" t="s">
        <v>1113</v>
      </c>
      <c r="C280">
        <v>324</v>
      </c>
      <c r="D280" s="11" t="str">
        <f>"0x"&amp;DEC2HEX(HEX2DEC(D$1)+SUM($C$2:C280))</f>
        <v>0x4201D43E</v>
      </c>
    </row>
    <row r="281" spans="1:4" x14ac:dyDescent="0.2">
      <c r="B281" t="s">
        <v>1114</v>
      </c>
      <c r="C281">
        <v>2396</v>
      </c>
      <c r="D281" s="11" t="str">
        <f>"0x"&amp;DEC2HEX(HEX2DEC(D$1)+SUM($C$2:C281))</f>
        <v>0x4201DD9A</v>
      </c>
    </row>
    <row r="282" spans="1:4" x14ac:dyDescent="0.2">
      <c r="B282" t="s">
        <v>1115</v>
      </c>
      <c r="C282">
        <v>44</v>
      </c>
      <c r="D282" s="11" t="str">
        <f>"0x"&amp;DEC2HEX(HEX2DEC(D$1)+SUM($C$2:C282))</f>
        <v>0x4201DDC6</v>
      </c>
    </row>
    <row r="283" spans="1:4" x14ac:dyDescent="0.2">
      <c r="A283" t="s">
        <v>1116</v>
      </c>
      <c r="D283" s="11" t="str">
        <f>"0x"&amp;DEC2HEX(HEX2DEC(D$1)+SUM($C$2:C283))</f>
        <v>0x4201DDC6</v>
      </c>
    </row>
    <row r="284" spans="1:4" x14ac:dyDescent="0.2">
      <c r="B284" t="s">
        <v>1117</v>
      </c>
      <c r="C284">
        <v>280</v>
      </c>
      <c r="D284" s="11" t="str">
        <f>"0x"&amp;DEC2HEX(HEX2DEC(D$1)+SUM($C$2:C284))</f>
        <v>0x4201DEDE</v>
      </c>
    </row>
    <row r="285" spans="1:4" x14ac:dyDescent="0.2">
      <c r="B285" t="s">
        <v>1118</v>
      </c>
      <c r="C285">
        <v>110</v>
      </c>
      <c r="D285" s="11" t="str">
        <f>"0x"&amp;DEC2HEX(HEX2DEC(D$1)+SUM($C$2:C285))</f>
        <v>0x4201DF4C</v>
      </c>
    </row>
    <row r="286" spans="1:4" x14ac:dyDescent="0.2">
      <c r="B286" t="s">
        <v>1119</v>
      </c>
      <c r="C286">
        <v>110</v>
      </c>
      <c r="D286" s="11" t="str">
        <f>"0x"&amp;DEC2HEX(HEX2DEC(D$1)+SUM($C$2:C286))</f>
        <v>0x4201DFBA</v>
      </c>
    </row>
    <row r="287" spans="1:4" x14ac:dyDescent="0.2">
      <c r="A287" t="s">
        <v>78</v>
      </c>
      <c r="D287" s="11" t="str">
        <f>"0x"&amp;DEC2HEX(HEX2DEC(D$1)+SUM($C$2:C287))</f>
        <v>0x4201DFBA</v>
      </c>
    </row>
    <row r="288" spans="1:4" x14ac:dyDescent="0.2">
      <c r="B288" t="s">
        <v>1120</v>
      </c>
      <c r="C288">
        <v>18</v>
      </c>
      <c r="D288" s="11" t="str">
        <f>"0x"&amp;DEC2HEX(HEX2DEC(D$1)+SUM($C$2:C288))</f>
        <v>0x4201DFCC</v>
      </c>
    </row>
    <row r="289" spans="1:4" x14ac:dyDescent="0.2">
      <c r="B289" t="s">
        <v>1121</v>
      </c>
      <c r="C289">
        <v>42</v>
      </c>
      <c r="D289" s="11" t="str">
        <f>"0x"&amp;DEC2HEX(HEX2DEC(D$1)+SUM($C$2:C289))</f>
        <v>0x4201DFF6</v>
      </c>
    </row>
    <row r="290" spans="1:4" x14ac:dyDescent="0.2">
      <c r="B290" t="s">
        <v>1122</v>
      </c>
      <c r="C290">
        <v>44</v>
      </c>
      <c r="D290" s="11" t="str">
        <f>"0x"&amp;DEC2HEX(HEX2DEC(D$1)+SUM($C$2:C290))</f>
        <v>0x4201E022</v>
      </c>
    </row>
    <row r="291" spans="1:4" x14ac:dyDescent="0.2">
      <c r="B291" t="s">
        <v>1123</v>
      </c>
      <c r="C291">
        <v>20</v>
      </c>
      <c r="D291" s="11" t="str">
        <f>"0x"&amp;DEC2HEX(HEX2DEC(D$1)+SUM($C$2:C291))</f>
        <v>0x4201E036</v>
      </c>
    </row>
    <row r="292" spans="1:4" x14ac:dyDescent="0.2">
      <c r="B292" t="s">
        <v>1124</v>
      </c>
      <c r="C292">
        <v>26</v>
      </c>
      <c r="D292" s="11" t="str">
        <f>"0x"&amp;DEC2HEX(HEX2DEC(D$1)+SUM($C$2:C292))</f>
        <v>0x4201E050</v>
      </c>
    </row>
    <row r="293" spans="1:4" x14ac:dyDescent="0.2">
      <c r="B293" t="s">
        <v>1125</v>
      </c>
      <c r="C293">
        <v>34</v>
      </c>
      <c r="D293" s="11" t="str">
        <f>"0x"&amp;DEC2HEX(HEX2DEC(D$1)+SUM($C$2:C293))</f>
        <v>0x4201E072</v>
      </c>
    </row>
    <row r="294" spans="1:4" x14ac:dyDescent="0.2">
      <c r="A294" t="s">
        <v>1126</v>
      </c>
      <c r="D294" s="11" t="str">
        <f>"0x"&amp;DEC2HEX(HEX2DEC(D$1)+SUM($C$2:C294))</f>
        <v>0x4201E072</v>
      </c>
    </row>
    <row r="295" spans="1:4" x14ac:dyDescent="0.2">
      <c r="B295" t="s">
        <v>1127</v>
      </c>
      <c r="C295">
        <v>134</v>
      </c>
      <c r="D295" s="11" t="str">
        <f>"0x"&amp;DEC2HEX(HEX2DEC(D$1)+SUM($C$2:C295))</f>
        <v>0x4201E0F8</v>
      </c>
    </row>
    <row r="296" spans="1:4" x14ac:dyDescent="0.2">
      <c r="B296" t="s">
        <v>1128</v>
      </c>
      <c r="C296">
        <v>434</v>
      </c>
      <c r="D296" s="11" t="str">
        <f>"0x"&amp;DEC2HEX(HEX2DEC(D$1)+SUM($C$2:C296))</f>
        <v>0x4201E2AA</v>
      </c>
    </row>
    <row r="297" spans="1:4" x14ac:dyDescent="0.2">
      <c r="B297" t="s">
        <v>1129</v>
      </c>
      <c r="C297">
        <v>16</v>
      </c>
      <c r="D297" s="11" t="str">
        <f>"0x"&amp;DEC2HEX(HEX2DEC(D$1)+SUM($C$2:C297))</f>
        <v>0x4201E2BA</v>
      </c>
    </row>
    <row r="298" spans="1:4" x14ac:dyDescent="0.2">
      <c r="B298" t="s">
        <v>1130</v>
      </c>
      <c r="C298">
        <v>186</v>
      </c>
      <c r="D298" s="11" t="str">
        <f>"0x"&amp;DEC2HEX(HEX2DEC(D$1)+SUM($C$2:C298))</f>
        <v>0x4201E374</v>
      </c>
    </row>
    <row r="299" spans="1:4" x14ac:dyDescent="0.2">
      <c r="B299" t="s">
        <v>1131</v>
      </c>
      <c r="C299">
        <v>42</v>
      </c>
      <c r="D299" s="11"/>
    </row>
    <row r="300" spans="1:4" x14ac:dyDescent="0.2">
      <c r="B300" t="s">
        <v>1132</v>
      </c>
      <c r="C300">
        <v>32</v>
      </c>
      <c r="D300" s="11" t="str">
        <f>"0x"&amp;DEC2HEX(HEX2DEC(D$1)+SUM($C$2:C300))</f>
        <v>0x4201E3BE</v>
      </c>
    </row>
    <row r="301" spans="1:4" x14ac:dyDescent="0.2">
      <c r="B301" t="s">
        <v>1133</v>
      </c>
      <c r="C301">
        <v>134</v>
      </c>
      <c r="D301" s="11" t="str">
        <f>"0x"&amp;DEC2HEX(HEX2DEC(D$1)+SUM($C$2:C301))</f>
        <v>0x4201E444</v>
      </c>
    </row>
    <row r="302" spans="1:4" x14ac:dyDescent="0.2">
      <c r="B302" t="s">
        <v>1134</v>
      </c>
      <c r="C302">
        <v>54</v>
      </c>
      <c r="D302" s="11" t="str">
        <f>"0x"&amp;DEC2HEX(HEX2DEC(D$1)+SUM($C$2:C302))</f>
        <v>0x4201E47A</v>
      </c>
    </row>
    <row r="303" spans="1:4" x14ac:dyDescent="0.2">
      <c r="A303" t="s">
        <v>1135</v>
      </c>
      <c r="D303" s="11" t="str">
        <f>"0x"&amp;DEC2HEX(HEX2DEC(D$1)+SUM($C$2:C303))</f>
        <v>0x4201E47A</v>
      </c>
    </row>
    <row r="304" spans="1:4" x14ac:dyDescent="0.2">
      <c r="A304" t="s">
        <v>47</v>
      </c>
      <c r="D304" s="11"/>
    </row>
    <row r="305" spans="2:4" x14ac:dyDescent="0.2">
      <c r="B305" t="s">
        <v>1136</v>
      </c>
      <c r="C305">
        <v>188</v>
      </c>
      <c r="D305" s="11" t="str">
        <f>"0x"&amp;DEC2HEX(HEX2DEC(D$1)+SUM($C$2:C305))</f>
        <v>0x4201E536</v>
      </c>
    </row>
    <row r="306" spans="2:4" x14ac:dyDescent="0.2">
      <c r="B306" t="s">
        <v>1137</v>
      </c>
      <c r="C306">
        <v>58</v>
      </c>
      <c r="D306" s="11" t="str">
        <f>"0x"&amp;DEC2HEX(HEX2DEC(D$1)+SUM($C$2:C306))</f>
        <v>0x4201E570</v>
      </c>
    </row>
    <row r="307" spans="2:4" x14ac:dyDescent="0.2">
      <c r="B307" t="s">
        <v>1138</v>
      </c>
      <c r="C307">
        <v>60</v>
      </c>
      <c r="D307" s="11" t="str">
        <f>"0x"&amp;DEC2HEX(HEX2DEC(D$1)+SUM($C$2:C307))</f>
        <v>0x4201E5AC</v>
      </c>
    </row>
    <row r="308" spans="2:4" x14ac:dyDescent="0.2">
      <c r="B308" t="s">
        <v>1139</v>
      </c>
      <c r="C308">
        <v>28</v>
      </c>
      <c r="D308" s="11" t="str">
        <f>"0x"&amp;DEC2HEX(HEX2DEC(D$1)+SUM($C$2:C308))</f>
        <v>0x4201E5C8</v>
      </c>
    </row>
    <row r="309" spans="2:4" x14ac:dyDescent="0.2">
      <c r="B309" t="s">
        <v>1140</v>
      </c>
      <c r="C309">
        <v>22</v>
      </c>
      <c r="D309" s="11" t="str">
        <f>"0x"&amp;DEC2HEX(HEX2DEC(D$1)+SUM($C$2:C309))</f>
        <v>0x4201E5DE</v>
      </c>
    </row>
    <row r="310" spans="2:4" x14ac:dyDescent="0.2">
      <c r="B310" t="s">
        <v>1141</v>
      </c>
      <c r="C310">
        <v>28</v>
      </c>
      <c r="D310" s="11" t="str">
        <f>"0x"&amp;DEC2HEX(HEX2DEC(D$1)+SUM($C$2:C310))</f>
        <v>0x4201E5FA</v>
      </c>
    </row>
    <row r="311" spans="2:4" x14ac:dyDescent="0.2">
      <c r="B311" t="s">
        <v>1142</v>
      </c>
      <c r="C311">
        <v>50</v>
      </c>
      <c r="D311" s="11" t="str">
        <f>"0x"&amp;DEC2HEX(HEX2DEC(D$1)+SUM($C$2:C311))</f>
        <v>0x4201E62C</v>
      </c>
    </row>
    <row r="312" spans="2:4" x14ac:dyDescent="0.2">
      <c r="B312" t="s">
        <v>1143</v>
      </c>
      <c r="C312">
        <v>42</v>
      </c>
      <c r="D312" s="11" t="str">
        <f>"0x"&amp;DEC2HEX(HEX2DEC(D$1)+SUM($C$2:C312))</f>
        <v>0x4201E656</v>
      </c>
    </row>
    <row r="313" spans="2:4" x14ac:dyDescent="0.2">
      <c r="B313" t="s">
        <v>1144</v>
      </c>
      <c r="C313">
        <v>92</v>
      </c>
      <c r="D313" s="11"/>
    </row>
    <row r="314" spans="2:4" x14ac:dyDescent="0.2">
      <c r="B314" t="s">
        <v>1145</v>
      </c>
      <c r="C314">
        <v>406</v>
      </c>
      <c r="D314" s="11"/>
    </row>
    <row r="315" spans="2:4" x14ac:dyDescent="0.2">
      <c r="B315" t="s">
        <v>1146</v>
      </c>
      <c r="C315">
        <v>28</v>
      </c>
      <c r="D315" s="11" t="str">
        <f>"0x"&amp;DEC2HEX(HEX2DEC(D$1)+SUM($C$2:C315))</f>
        <v>0x4201E864</v>
      </c>
    </row>
    <row r="316" spans="2:4" x14ac:dyDescent="0.2">
      <c r="B316" t="s">
        <v>1147</v>
      </c>
      <c r="C316">
        <v>178</v>
      </c>
      <c r="D316" s="11"/>
    </row>
    <row r="317" spans="2:4" x14ac:dyDescent="0.2">
      <c r="B317" t="s">
        <v>1148</v>
      </c>
      <c r="C317">
        <v>100</v>
      </c>
      <c r="D317" s="11"/>
    </row>
    <row r="318" spans="2:4" x14ac:dyDescent="0.2">
      <c r="B318" t="s">
        <v>1149</v>
      </c>
      <c r="C318">
        <v>76</v>
      </c>
      <c r="D318" s="11" t="str">
        <f>"0x"&amp;DEC2HEX(HEX2DEC(D$1)+SUM($C$2:C318))</f>
        <v>0x4201E9C6</v>
      </c>
    </row>
    <row r="319" spans="2:4" x14ac:dyDescent="0.2">
      <c r="B319" t="s">
        <v>1150</v>
      </c>
      <c r="C319">
        <v>124</v>
      </c>
      <c r="D319" s="11" t="str">
        <f>"0x"&amp;DEC2HEX(HEX2DEC(D$1)+SUM($C$2:C319))</f>
        <v>0x4201EA42</v>
      </c>
    </row>
    <row r="320" spans="2:4" x14ac:dyDescent="0.2">
      <c r="B320" t="s">
        <v>1151</v>
      </c>
      <c r="C320">
        <v>170</v>
      </c>
      <c r="D320" s="11" t="str">
        <f>"0x"&amp;DEC2HEX(HEX2DEC(D$1)+SUM($C$2:C320))</f>
        <v>0x4201EAEC</v>
      </c>
    </row>
    <row r="321" spans="1:4" x14ac:dyDescent="0.2">
      <c r="B321" t="s">
        <v>1152</v>
      </c>
      <c r="C321">
        <v>308</v>
      </c>
      <c r="D321" s="11"/>
    </row>
    <row r="322" spans="1:4" x14ac:dyDescent="0.2">
      <c r="B322" t="s">
        <v>1153</v>
      </c>
      <c r="C322">
        <v>140</v>
      </c>
      <c r="D322" s="11" t="str">
        <f>"0x"&amp;DEC2HEX(HEX2DEC(D$1)+SUM($C$2:C322))</f>
        <v>0x4201ECAC</v>
      </c>
    </row>
    <row r="323" spans="1:4" x14ac:dyDescent="0.2">
      <c r="B323" t="s">
        <v>1154</v>
      </c>
      <c r="C323">
        <v>34</v>
      </c>
      <c r="D323" s="11" t="str">
        <f>"0x"&amp;DEC2HEX(HEX2DEC(D$1)+SUM($C$2:C323))</f>
        <v>0x4201ECCE</v>
      </c>
    </row>
    <row r="324" spans="1:4" x14ac:dyDescent="0.2">
      <c r="B324" t="s">
        <v>1155</v>
      </c>
      <c r="C324">
        <v>22</v>
      </c>
      <c r="D324" s="11" t="str">
        <f>"0x"&amp;DEC2HEX(HEX2DEC(D$1)+SUM($C$2:C324))</f>
        <v>0x4201ECE4</v>
      </c>
    </row>
    <row r="325" spans="1:4" x14ac:dyDescent="0.2">
      <c r="B325" t="s">
        <v>1156</v>
      </c>
      <c r="C325">
        <v>56</v>
      </c>
      <c r="D325" s="11" t="str">
        <f>"0x"&amp;DEC2HEX(HEX2DEC(D$1)+SUM($C$2:C325))</f>
        <v>0x4201ED1C</v>
      </c>
    </row>
    <row r="326" spans="1:4" x14ac:dyDescent="0.2">
      <c r="A326" t="s">
        <v>81</v>
      </c>
      <c r="D326" s="11" t="str">
        <f>"0x"&amp;DEC2HEX(HEX2DEC(D$1)+SUM($C$2:C326))</f>
        <v>0x4201ED1C</v>
      </c>
    </row>
    <row r="327" spans="1:4" x14ac:dyDescent="0.2">
      <c r="A327" t="s">
        <v>57</v>
      </c>
      <c r="D327" s="11"/>
    </row>
    <row r="328" spans="1:4" x14ac:dyDescent="0.2">
      <c r="B328" t="s">
        <v>1157</v>
      </c>
      <c r="C328">
        <v>246</v>
      </c>
      <c r="D328" s="11" t="str">
        <f>"0x"&amp;DEC2HEX(HEX2DEC(D$1)+SUM($C$2:C328))</f>
        <v>0x4201EE12</v>
      </c>
    </row>
    <row r="329" spans="1:4" x14ac:dyDescent="0.2">
      <c r="B329" t="s">
        <v>1158</v>
      </c>
      <c r="C329">
        <v>56</v>
      </c>
      <c r="D329" s="11" t="str">
        <f>"0x"&amp;DEC2HEX(HEX2DEC(D$1)+SUM($C$2:C329))</f>
        <v>0x4201EE4A</v>
      </c>
    </row>
    <row r="330" spans="1:4" x14ac:dyDescent="0.2">
      <c r="B330" t="s">
        <v>1159</v>
      </c>
      <c r="C330">
        <v>584</v>
      </c>
      <c r="D330" s="11" t="str">
        <f>"0x"&amp;DEC2HEX(HEX2DEC(D$1)+SUM($C$2:C330))</f>
        <v>0x4201F092</v>
      </c>
    </row>
    <row r="331" spans="1:4" x14ac:dyDescent="0.2">
      <c r="B331" t="s">
        <v>1160</v>
      </c>
      <c r="C331">
        <v>70</v>
      </c>
      <c r="D331" s="11" t="str">
        <f>"0x"&amp;DEC2HEX(HEX2DEC(D$1)+SUM($C$2:C331))</f>
        <v>0x4201F0D8</v>
      </c>
    </row>
    <row r="332" spans="1:4" x14ac:dyDescent="0.2">
      <c r="B332" t="s">
        <v>1161</v>
      </c>
      <c r="C332">
        <v>282</v>
      </c>
      <c r="D332" s="11" t="str">
        <f>"0x"&amp;DEC2HEX(HEX2DEC(D$1)+SUM($C$2:C332))</f>
        <v>0x4201F1F2</v>
      </c>
    </row>
    <row r="333" spans="1:4" x14ac:dyDescent="0.2">
      <c r="B333" t="s">
        <v>1162</v>
      </c>
      <c r="C333" s="2">
        <v>60</v>
      </c>
      <c r="D333" s="11" t="str">
        <f>"0x"&amp;DEC2HEX(HEX2DEC(D$1)+SUM($C$2:C333))</f>
        <v>0x4201F22E</v>
      </c>
    </row>
    <row r="334" spans="1:4" x14ac:dyDescent="0.2">
      <c r="B334" t="s">
        <v>1163</v>
      </c>
      <c r="C334" s="2">
        <v>90</v>
      </c>
      <c r="D334" s="11" t="str">
        <f>"0x"&amp;DEC2HEX(HEX2DEC(D$1)+SUM($C$2:C334))</f>
        <v>0x4201F288</v>
      </c>
    </row>
    <row r="335" spans="1:4" x14ac:dyDescent="0.2">
      <c r="B335" t="s">
        <v>1164</v>
      </c>
      <c r="C335">
        <v>74</v>
      </c>
      <c r="D335" s="11" t="str">
        <f>"0x"&amp;DEC2HEX(HEX2DEC(D$1)+SUM($C$2:C335))</f>
        <v>0x4201F2D2</v>
      </c>
    </row>
    <row r="336" spans="1:4" x14ac:dyDescent="0.2">
      <c r="B336" t="s">
        <v>1165</v>
      </c>
      <c r="C336">
        <v>98</v>
      </c>
      <c r="D336" s="11" t="str">
        <f>"0x"&amp;DEC2HEX(HEX2DEC(D$1)+SUM($C$2:C336))</f>
        <v>0x4201F334</v>
      </c>
    </row>
    <row r="337" spans="1:4" x14ac:dyDescent="0.2">
      <c r="B337" t="s">
        <v>1166</v>
      </c>
      <c r="C337">
        <v>22</v>
      </c>
      <c r="D337" s="11" t="str">
        <f>"0x"&amp;DEC2HEX(HEX2DEC(D$1)+SUM($C$2:C337))</f>
        <v>0x4201F34A</v>
      </c>
    </row>
    <row r="338" spans="1:4" x14ac:dyDescent="0.2">
      <c r="A338" t="s">
        <v>167</v>
      </c>
      <c r="D338" s="11"/>
    </row>
    <row r="339" spans="1:4" x14ac:dyDescent="0.2">
      <c r="A339" t="s">
        <v>1167</v>
      </c>
      <c r="D339" s="11"/>
    </row>
    <row r="340" spans="1:4" x14ac:dyDescent="0.2">
      <c r="B340" t="s">
        <v>1168</v>
      </c>
      <c r="C340">
        <v>94</v>
      </c>
      <c r="D340" s="11" t="str">
        <f>"0x"&amp;DEC2HEX(HEX2DEC(D$1)+SUM($C$2:C340))</f>
        <v>0x4201F3A8</v>
      </c>
    </row>
    <row r="341" spans="1:4" x14ac:dyDescent="0.2">
      <c r="B341" t="s">
        <v>1169</v>
      </c>
      <c r="C341">
        <v>104</v>
      </c>
      <c r="D341" s="11" t="str">
        <f>"0x"&amp;DEC2HEX(HEX2DEC(D$1)+SUM($C$2:C341))</f>
        <v>0x4201F410</v>
      </c>
    </row>
    <row r="342" spans="1:4" x14ac:dyDescent="0.2">
      <c r="B342" t="s">
        <v>1170</v>
      </c>
      <c r="C342">
        <v>140</v>
      </c>
      <c r="D342" s="11" t="str">
        <f>"0x"&amp;DEC2HEX(HEX2DEC(D$1)+SUM($C$2:C342))</f>
        <v>0x4201F49C</v>
      </c>
    </row>
    <row r="343" spans="1:4" x14ac:dyDescent="0.2">
      <c r="B343" t="s">
        <v>1171</v>
      </c>
      <c r="C343">
        <v>136</v>
      </c>
      <c r="D343" s="11" t="str">
        <f>"0x"&amp;DEC2HEX(HEX2DEC(D$1)+SUM($C$2:C343))</f>
        <v>0x4201F524</v>
      </c>
    </row>
    <row r="344" spans="1:4" x14ac:dyDescent="0.2">
      <c r="A344" t="s">
        <v>166</v>
      </c>
      <c r="D344" s="11"/>
    </row>
    <row r="345" spans="1:4" x14ac:dyDescent="0.2">
      <c r="B345" t="s">
        <v>1172</v>
      </c>
      <c r="C345">
        <v>16</v>
      </c>
      <c r="D345" s="11" t="str">
        <f>"0x"&amp;DEC2HEX(HEX2DEC(D$1)+SUM($C$2:C345))</f>
        <v>0x4201F534</v>
      </c>
    </row>
    <row r="346" spans="1:4" x14ac:dyDescent="0.2">
      <c r="B346" t="s">
        <v>1173</v>
      </c>
      <c r="C346">
        <v>18</v>
      </c>
      <c r="D346" s="11"/>
    </row>
    <row r="347" spans="1:4" x14ac:dyDescent="0.2">
      <c r="B347" t="s">
        <v>1174</v>
      </c>
      <c r="C347">
        <v>18</v>
      </c>
      <c r="D347" s="11"/>
    </row>
    <row r="348" spans="1:4" x14ac:dyDescent="0.2">
      <c r="B348" t="s">
        <v>1175</v>
      </c>
      <c r="C348">
        <v>56</v>
      </c>
      <c r="D348" s="11" t="str">
        <f>"0x"&amp;DEC2HEX(HEX2DEC(D$1)+SUM($C$2:C348))</f>
        <v>0x4201F590</v>
      </c>
    </row>
    <row r="349" spans="1:4" x14ac:dyDescent="0.2">
      <c r="B349" t="s">
        <v>1176</v>
      </c>
      <c r="C349">
        <v>18</v>
      </c>
      <c r="D349" s="11" t="str">
        <f>"0x"&amp;DEC2HEX(HEX2DEC(D$1)+SUM($C$2:C349))</f>
        <v>0x4201F5A2</v>
      </c>
    </row>
    <row r="350" spans="1:4" x14ac:dyDescent="0.2">
      <c r="B350" t="s">
        <v>1177</v>
      </c>
      <c r="C350">
        <v>40</v>
      </c>
      <c r="D350" s="11" t="str">
        <f>"0x"&amp;DEC2HEX(HEX2DEC(D$1)+SUM($C$2:C350))</f>
        <v>0x4201F5CA</v>
      </c>
    </row>
    <row r="351" spans="1:4" x14ac:dyDescent="0.2">
      <c r="B351" t="s">
        <v>1178</v>
      </c>
      <c r="C351">
        <v>28</v>
      </c>
      <c r="D351" s="11" t="str">
        <f>"0x"&amp;DEC2HEX(HEX2DEC(D$1)+SUM($C$2:C351))</f>
        <v>0x4201F5E6</v>
      </c>
    </row>
    <row r="352" spans="1:4" x14ac:dyDescent="0.2">
      <c r="B352" t="s">
        <v>1179</v>
      </c>
      <c r="C352">
        <v>98</v>
      </c>
      <c r="D352" s="11" t="str">
        <f>"0x"&amp;DEC2HEX(HEX2DEC(D$1)+SUM($C$2:C352))</f>
        <v>0x4201F648</v>
      </c>
    </row>
    <row r="353" spans="2:6" x14ac:dyDescent="0.2">
      <c r="B353" t="s">
        <v>1180</v>
      </c>
      <c r="C353">
        <v>22</v>
      </c>
      <c r="D353" s="11" t="str">
        <f>"0x"&amp;DEC2HEX(HEX2DEC(D$1)+SUM($C$2:C353))</f>
        <v>0x4201F65E</v>
      </c>
      <c r="E353"/>
    </row>
    <row r="354" spans="2:6" x14ac:dyDescent="0.2">
      <c r="B354" t="s">
        <v>1181</v>
      </c>
      <c r="C354">
        <v>18</v>
      </c>
      <c r="D354" s="11" t="str">
        <f>"0x"&amp;DEC2HEX(HEX2DEC(D$1)+SUM($C$2:C354))</f>
        <v>0x4201F670</v>
      </c>
      <c r="E354"/>
    </row>
    <row r="355" spans="2:6" x14ac:dyDescent="0.2">
      <c r="B355" t="s">
        <v>1182</v>
      </c>
      <c r="C355">
        <v>36</v>
      </c>
      <c r="D355" s="11" t="str">
        <f>"0x"&amp;DEC2HEX(HEX2DEC(D$1)+SUM($C$2:C355))</f>
        <v>0x4201F694</v>
      </c>
      <c r="E355"/>
    </row>
    <row r="356" spans="2:6" x14ac:dyDescent="0.2">
      <c r="B356" t="s">
        <v>1183</v>
      </c>
      <c r="C356">
        <v>14</v>
      </c>
      <c r="D356" s="11" t="str">
        <f>"0x"&amp;DEC2HEX(HEX2DEC(D$1)+SUM($C$2:C356))</f>
        <v>0x4201F6A2</v>
      </c>
      <c r="E356" s="8">
        <f>SUM($C$2:C356)</f>
        <v>36242</v>
      </c>
      <c r="F356" s="9" t="str">
        <f>"0x"&amp;DEC2HEX(E356)</f>
        <v>0x8D92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9024-EA9A-7247-9775-35350634CC57}">
  <dimension ref="A1:F158"/>
  <sheetViews>
    <sheetView workbookViewId="0">
      <selection activeCell="D2" sqref="D2"/>
    </sheetView>
  </sheetViews>
  <sheetFormatPr baseColWidth="10" defaultRowHeight="16" x14ac:dyDescent="0.2"/>
  <cols>
    <col min="1" max="1" width="16.1640625" customWidth="1"/>
    <col min="2" max="2" width="28.5" customWidth="1"/>
    <col min="4" max="4" width="15.33203125" customWidth="1"/>
  </cols>
  <sheetData>
    <row r="1" spans="1:4" x14ac:dyDescent="0.2">
      <c r="A1" t="s">
        <v>1184</v>
      </c>
      <c r="D1" s="9" t="s">
        <v>1192</v>
      </c>
    </row>
    <row r="2" spans="1:4" x14ac:dyDescent="0.2">
      <c r="B2" t="s">
        <v>1185</v>
      </c>
      <c r="C2">
        <v>308</v>
      </c>
      <c r="D2" s="10" t="str">
        <f>"0x"&amp;DEC2HEX(HEX2DEC(D$1)+SUM($C$2:C2))</f>
        <v>0x4201F7D8</v>
      </c>
    </row>
    <row r="3" spans="1:4" x14ac:dyDescent="0.2">
      <c r="B3" t="s">
        <v>1186</v>
      </c>
      <c r="C3">
        <v>426</v>
      </c>
      <c r="D3" s="10" t="str">
        <f>"0x"&amp;DEC2HEX(HEX2DEC(D$1)+SUM($C$2:C3))</f>
        <v>0x4201F982</v>
      </c>
    </row>
    <row r="4" spans="1:4" x14ac:dyDescent="0.2">
      <c r="A4" t="s">
        <v>180</v>
      </c>
      <c r="D4" s="10"/>
    </row>
    <row r="5" spans="1:4" x14ac:dyDescent="0.2">
      <c r="B5" t="s">
        <v>1187</v>
      </c>
      <c r="C5">
        <v>18</v>
      </c>
      <c r="D5" s="10" t="str">
        <f>"0x"&amp;DEC2HEX(HEX2DEC(D$1)+SUM($C$2:C5))</f>
        <v>0x4201F994</v>
      </c>
    </row>
    <row r="6" spans="1:4" x14ac:dyDescent="0.2">
      <c r="B6" t="s">
        <v>1188</v>
      </c>
      <c r="C6">
        <v>10</v>
      </c>
      <c r="D6" s="10" t="str">
        <f>"0x"&amp;DEC2HEX(HEX2DEC(D$1)+SUM($C$2:C6))</f>
        <v>0x4201F99E</v>
      </c>
    </row>
    <row r="7" spans="1:4" x14ac:dyDescent="0.2">
      <c r="B7" t="s">
        <v>1189</v>
      </c>
      <c r="C7">
        <v>6</v>
      </c>
      <c r="D7" s="10" t="str">
        <f>"0x"&amp;DEC2HEX(HEX2DEC(D$1)+SUM($C$2:C7))</f>
        <v>0x4201F9A4</v>
      </c>
    </row>
    <row r="8" spans="1:4" x14ac:dyDescent="0.2">
      <c r="B8" t="s">
        <v>1190</v>
      </c>
      <c r="C8">
        <v>2</v>
      </c>
      <c r="D8" s="10" t="str">
        <f>"0x"&amp;DEC2HEX(HEX2DEC(D$1)+SUM($C$2:C8))</f>
        <v>0x4201F9A6</v>
      </c>
    </row>
    <row r="9" spans="1:4" x14ac:dyDescent="0.2">
      <c r="A9" t="s">
        <v>185</v>
      </c>
      <c r="D9" s="10"/>
    </row>
    <row r="10" spans="1:4" x14ac:dyDescent="0.2">
      <c r="B10" t="s">
        <v>1191</v>
      </c>
      <c r="C10">
        <v>64</v>
      </c>
      <c r="D10" s="10" t="str">
        <f>"0x"&amp;DEC2HEX(HEX2DEC(D$1)+SUM($C$2:C10))</f>
        <v>0x4201F9E6</v>
      </c>
    </row>
    <row r="11" spans="1:4" x14ac:dyDescent="0.2">
      <c r="A11" t="s">
        <v>1193</v>
      </c>
      <c r="D11" s="10"/>
    </row>
    <row r="12" spans="1:4" x14ac:dyDescent="0.2">
      <c r="B12" t="s">
        <v>1194</v>
      </c>
      <c r="C12">
        <v>66</v>
      </c>
      <c r="D12" s="10" t="str">
        <f>"0x"&amp;DEC2HEX(HEX2DEC(D$1)+SUM($C$2:C12))</f>
        <v>0x4201FA28</v>
      </c>
    </row>
    <row r="13" spans="1:4" x14ac:dyDescent="0.2">
      <c r="B13" t="s">
        <v>1195</v>
      </c>
      <c r="C13">
        <v>68</v>
      </c>
      <c r="D13" s="10" t="str">
        <f>"0x"&amp;DEC2HEX(HEX2DEC(D$1)+SUM($C$2:C13))</f>
        <v>0x4201FA6C</v>
      </c>
    </row>
    <row r="14" spans="1:4" x14ac:dyDescent="0.2">
      <c r="B14" t="s">
        <v>1196</v>
      </c>
      <c r="C14">
        <v>134</v>
      </c>
      <c r="D14" s="10" t="str">
        <f>"0x"&amp;DEC2HEX(HEX2DEC(D$1)+SUM($C$2:C14))</f>
        <v>0x4201FAF2</v>
      </c>
    </row>
    <row r="15" spans="1:4" x14ac:dyDescent="0.2">
      <c r="B15" t="s">
        <v>1197</v>
      </c>
      <c r="C15">
        <v>168</v>
      </c>
      <c r="D15" s="10" t="str">
        <f>"0x"&amp;DEC2HEX(HEX2DEC(D$1)+SUM($C$2:C15))</f>
        <v>0x4201FB9A</v>
      </c>
    </row>
    <row r="16" spans="1:4" x14ac:dyDescent="0.2">
      <c r="A16" t="s">
        <v>189</v>
      </c>
      <c r="D16" s="10"/>
    </row>
    <row r="17" spans="1:4" x14ac:dyDescent="0.2">
      <c r="B17" t="s">
        <v>1198</v>
      </c>
      <c r="C17">
        <v>22</v>
      </c>
      <c r="D17" s="10" t="str">
        <f>"0x"&amp;DEC2HEX(HEX2DEC(D$1)+SUM($C$2:C17))</f>
        <v>0x4201FBB0</v>
      </c>
    </row>
    <row r="18" spans="1:4" x14ac:dyDescent="0.2">
      <c r="B18" t="s">
        <v>1199</v>
      </c>
      <c r="C18">
        <v>470</v>
      </c>
      <c r="D18" s="10" t="str">
        <f>"0x"&amp;DEC2HEX(HEX2DEC(D$1)+SUM($C$2:C18))</f>
        <v>0x4201FD86</v>
      </c>
    </row>
    <row r="19" spans="1:4" x14ac:dyDescent="0.2">
      <c r="B19" t="s">
        <v>1200</v>
      </c>
      <c r="C19">
        <v>44</v>
      </c>
      <c r="D19" s="10" t="str">
        <f>"0x"&amp;DEC2HEX(HEX2DEC(D$1)+SUM($C$2:C19))</f>
        <v>0x4201FDB2</v>
      </c>
    </row>
    <row r="20" spans="1:4" x14ac:dyDescent="0.2">
      <c r="B20" t="s">
        <v>1201</v>
      </c>
      <c r="C20">
        <v>44</v>
      </c>
      <c r="D20" s="10" t="str">
        <f>"0x"&amp;DEC2HEX(HEX2DEC(D$1)+SUM($C$2:C20))</f>
        <v>0x4201FDDE</v>
      </c>
    </row>
    <row r="21" spans="1:4" x14ac:dyDescent="0.2">
      <c r="B21" t="s">
        <v>1202</v>
      </c>
      <c r="C21">
        <v>554</v>
      </c>
      <c r="D21" s="10" t="str">
        <f>"0x"&amp;DEC2HEX(HEX2DEC(D$1)+SUM($C$2:C21))</f>
        <v>0x42020008</v>
      </c>
    </row>
    <row r="22" spans="1:4" x14ac:dyDescent="0.2">
      <c r="A22" t="s">
        <v>188</v>
      </c>
      <c r="D22" s="10"/>
    </row>
    <row r="23" spans="1:4" x14ac:dyDescent="0.2">
      <c r="B23" t="s">
        <v>1203</v>
      </c>
      <c r="C23">
        <v>86</v>
      </c>
      <c r="D23" s="10" t="str">
        <f>"0x"&amp;DEC2HEX(HEX2DEC(D$1)+SUM($C$2:C23))</f>
        <v>0x4202005E</v>
      </c>
    </row>
    <row r="24" spans="1:4" x14ac:dyDescent="0.2">
      <c r="B24" t="s">
        <v>1204</v>
      </c>
      <c r="C24">
        <v>1328</v>
      </c>
      <c r="D24" s="10" t="str">
        <f>"0x"&amp;DEC2HEX(HEX2DEC(D$1)+SUM($C$2:C24))</f>
        <v>0x4202058E</v>
      </c>
    </row>
    <row r="25" spans="1:4" x14ac:dyDescent="0.2">
      <c r="B25" t="s">
        <v>1205</v>
      </c>
      <c r="C25">
        <v>400</v>
      </c>
      <c r="D25" s="10" t="str">
        <f>"0x"&amp;DEC2HEX(HEX2DEC(D$1)+SUM($C$2:C25))</f>
        <v>0x4202071E</v>
      </c>
    </row>
    <row r="26" spans="1:4" x14ac:dyDescent="0.2">
      <c r="B26" t="s">
        <v>1206</v>
      </c>
      <c r="C26">
        <v>566</v>
      </c>
      <c r="D26" s="10" t="str">
        <f>"0x"&amp;DEC2HEX(HEX2DEC(D$1)+SUM($C$2:C26))</f>
        <v>0x42020954</v>
      </c>
    </row>
    <row r="27" spans="1:4" x14ac:dyDescent="0.2">
      <c r="B27" t="s">
        <v>1207</v>
      </c>
      <c r="C27">
        <v>60</v>
      </c>
      <c r="D27" s="10" t="str">
        <f>"0x"&amp;DEC2HEX(HEX2DEC(D$1)+SUM($C$2:C27))</f>
        <v>0x42020990</v>
      </c>
    </row>
    <row r="28" spans="1:4" x14ac:dyDescent="0.2">
      <c r="B28" t="s">
        <v>1208</v>
      </c>
      <c r="C28">
        <v>158</v>
      </c>
      <c r="D28" s="10" t="str">
        <f>"0x"&amp;DEC2HEX(HEX2DEC(D$1)+SUM($C$2:C28))</f>
        <v>0x42020A2E</v>
      </c>
    </row>
    <row r="29" spans="1:4" x14ac:dyDescent="0.2">
      <c r="B29" t="s">
        <v>1209</v>
      </c>
      <c r="C29">
        <v>186</v>
      </c>
      <c r="D29" s="10" t="str">
        <f>"0x"&amp;DEC2HEX(HEX2DEC(D$1)+SUM($C$2:C29))</f>
        <v>0x42020AE8</v>
      </c>
    </row>
    <row r="30" spans="1:4" x14ac:dyDescent="0.2">
      <c r="A30" t="s">
        <v>198</v>
      </c>
      <c r="D30" s="10"/>
    </row>
    <row r="31" spans="1:4" x14ac:dyDescent="0.2">
      <c r="B31" t="s">
        <v>1210</v>
      </c>
      <c r="C31">
        <v>70</v>
      </c>
      <c r="D31" s="10" t="str">
        <f>"0x"&amp;DEC2HEX(HEX2DEC(D$1)+SUM($C$2:C31))</f>
        <v>0x42020B2E</v>
      </c>
    </row>
    <row r="32" spans="1:4" x14ac:dyDescent="0.2">
      <c r="B32" t="s">
        <v>1211</v>
      </c>
      <c r="C32">
        <v>850</v>
      </c>
      <c r="D32" s="10" t="str">
        <f>"0x"&amp;DEC2HEX(HEX2DEC(D$1)+SUM($C$2:C32))</f>
        <v>0x42020E80</v>
      </c>
    </row>
    <row r="33" spans="1:4" x14ac:dyDescent="0.2">
      <c r="B33" t="s">
        <v>1212</v>
      </c>
      <c r="C33">
        <v>78</v>
      </c>
      <c r="D33" s="10" t="str">
        <f>"0x"&amp;DEC2HEX(HEX2DEC(D$1)+SUM($C$2:C33))</f>
        <v>0x42020ECE</v>
      </c>
    </row>
    <row r="34" spans="1:4" x14ac:dyDescent="0.2">
      <c r="B34" t="s">
        <v>1213</v>
      </c>
      <c r="C34">
        <v>152</v>
      </c>
      <c r="D34" s="10" t="str">
        <f>"0x"&amp;DEC2HEX(HEX2DEC(D$1)+SUM($C$2:C34))</f>
        <v>0x42020F66</v>
      </c>
    </row>
    <row r="35" spans="1:4" x14ac:dyDescent="0.2">
      <c r="B35" t="s">
        <v>1214</v>
      </c>
      <c r="C35">
        <v>252</v>
      </c>
      <c r="D35" s="10" t="str">
        <f>"0x"&amp;DEC2HEX(HEX2DEC(D$1)+SUM($C$2:C35))</f>
        <v>0x42021062</v>
      </c>
    </row>
    <row r="36" spans="1:4" x14ac:dyDescent="0.2">
      <c r="A36" t="s">
        <v>193</v>
      </c>
      <c r="D36" s="10"/>
    </row>
    <row r="37" spans="1:4" x14ac:dyDescent="0.2">
      <c r="B37" t="s">
        <v>1215</v>
      </c>
      <c r="C37">
        <v>518</v>
      </c>
      <c r="D37" s="10" t="str">
        <f>"0x"&amp;DEC2HEX(HEX2DEC(D$1)+SUM($C$2:C37))</f>
        <v>0x42021268</v>
      </c>
    </row>
    <row r="38" spans="1:4" x14ac:dyDescent="0.2">
      <c r="B38" t="s">
        <v>1216</v>
      </c>
      <c r="C38">
        <v>224</v>
      </c>
      <c r="D38" s="10" t="str">
        <f>"0x"&amp;DEC2HEX(HEX2DEC(D$1)+SUM($C$2:C38))</f>
        <v>0x42021348</v>
      </c>
    </row>
    <row r="39" spans="1:4" x14ac:dyDescent="0.2">
      <c r="B39" t="s">
        <v>1217</v>
      </c>
      <c r="C39">
        <v>306</v>
      </c>
      <c r="D39" s="10" t="str">
        <f>"0x"&amp;DEC2HEX(HEX2DEC(D$1)+SUM($C$2:C39))</f>
        <v>0x4202147A</v>
      </c>
    </row>
    <row r="40" spans="1:4" x14ac:dyDescent="0.2">
      <c r="B40" t="s">
        <v>1218</v>
      </c>
      <c r="C40">
        <v>28</v>
      </c>
      <c r="D40" s="10" t="str">
        <f>"0x"&amp;DEC2HEX(HEX2DEC(D$1)+SUM($C$2:C40))</f>
        <v>0x42021496</v>
      </c>
    </row>
    <row r="41" spans="1:4" x14ac:dyDescent="0.2">
      <c r="B41" t="s">
        <v>1219</v>
      </c>
      <c r="C41">
        <v>110</v>
      </c>
      <c r="D41" s="10" t="str">
        <f>"0x"&amp;DEC2HEX(HEX2DEC(D$1)+SUM($C$2:C41))</f>
        <v>0x42021504</v>
      </c>
    </row>
    <row r="42" spans="1:4" x14ac:dyDescent="0.2">
      <c r="B42" t="s">
        <v>1220</v>
      </c>
      <c r="C42">
        <v>64</v>
      </c>
      <c r="D42" s="10" t="str">
        <f>"0x"&amp;DEC2HEX(HEX2DEC(D$1)+SUM($C$2:C42))</f>
        <v>0x42021544</v>
      </c>
    </row>
    <row r="43" spans="1:4" x14ac:dyDescent="0.2">
      <c r="B43" t="s">
        <v>1221</v>
      </c>
      <c r="C43">
        <v>854</v>
      </c>
      <c r="D43" s="10" t="str">
        <f>"0x"&amp;DEC2HEX(HEX2DEC(D$1)+SUM($C$2:C43))</f>
        <v>0x4202189A</v>
      </c>
    </row>
    <row r="44" spans="1:4" x14ac:dyDescent="0.2">
      <c r="B44" t="s">
        <v>1222</v>
      </c>
      <c r="C44">
        <v>16</v>
      </c>
      <c r="D44" s="10" t="str">
        <f>"0x"&amp;DEC2HEX(HEX2DEC(D$1)+SUM($C$2:C44))</f>
        <v>0x420218AA</v>
      </c>
    </row>
    <row r="45" spans="1:4" x14ac:dyDescent="0.2">
      <c r="B45" t="s">
        <v>1223</v>
      </c>
      <c r="C45">
        <v>140</v>
      </c>
      <c r="D45" s="10" t="str">
        <f>"0x"&amp;DEC2HEX(HEX2DEC(D$1)+SUM($C$2:C45))</f>
        <v>0x42021936</v>
      </c>
    </row>
    <row r="46" spans="1:4" x14ac:dyDescent="0.2">
      <c r="B46" t="s">
        <v>1224</v>
      </c>
      <c r="C46">
        <v>172</v>
      </c>
      <c r="D46" s="10" t="str">
        <f>"0x"&amp;DEC2HEX(HEX2DEC(D$1)+SUM($C$2:C46))</f>
        <v>0x420219E2</v>
      </c>
    </row>
    <row r="47" spans="1:4" x14ac:dyDescent="0.2">
      <c r="B47" t="s">
        <v>1225</v>
      </c>
      <c r="C47">
        <v>244</v>
      </c>
      <c r="D47" s="10" t="str">
        <f>"0x"&amp;DEC2HEX(HEX2DEC(D$1)+SUM($C$2:C47))</f>
        <v>0x42021AD6</v>
      </c>
    </row>
    <row r="48" spans="1:4" x14ac:dyDescent="0.2">
      <c r="B48" t="s">
        <v>1226</v>
      </c>
      <c r="C48">
        <v>398</v>
      </c>
      <c r="D48" s="10" t="str">
        <f>"0x"&amp;DEC2HEX(HEX2DEC(D$1)+SUM($C$2:C48))</f>
        <v>0x42021C64</v>
      </c>
    </row>
    <row r="49" spans="1:4" x14ac:dyDescent="0.2">
      <c r="B49" t="s">
        <v>1227</v>
      </c>
      <c r="C49">
        <v>74</v>
      </c>
      <c r="D49" s="10" t="str">
        <f>"0x"&amp;DEC2HEX(HEX2DEC(D$1)+SUM($C$2:C49))</f>
        <v>0x42021CAE</v>
      </c>
    </row>
    <row r="50" spans="1:4" x14ac:dyDescent="0.2">
      <c r="A50" t="s">
        <v>1228</v>
      </c>
      <c r="D50" s="10"/>
    </row>
    <row r="51" spans="1:4" x14ac:dyDescent="0.2">
      <c r="B51" t="s">
        <v>1229</v>
      </c>
      <c r="C51">
        <v>150</v>
      </c>
      <c r="D51" s="10" t="str">
        <f>"0x"&amp;DEC2HEX(HEX2DEC(D$1)+SUM($C$2:C51))</f>
        <v>0x42021D44</v>
      </c>
    </row>
    <row r="52" spans="1:4" x14ac:dyDescent="0.2">
      <c r="B52" t="s">
        <v>1230</v>
      </c>
      <c r="C52">
        <v>158</v>
      </c>
      <c r="D52" s="10" t="str">
        <f>"0x"&amp;DEC2HEX(HEX2DEC(D$1)+SUM($C$2:C52))</f>
        <v>0x42021DE2</v>
      </c>
    </row>
    <row r="53" spans="1:4" x14ac:dyDescent="0.2">
      <c r="B53" t="s">
        <v>1231</v>
      </c>
      <c r="C53">
        <v>132</v>
      </c>
      <c r="D53" s="10" t="str">
        <f>"0x"&amp;DEC2HEX(HEX2DEC(D$1)+SUM($C$2:C53))</f>
        <v>0x42021E66</v>
      </c>
    </row>
    <row r="54" spans="1:4" x14ac:dyDescent="0.2">
      <c r="B54" t="s">
        <v>1232</v>
      </c>
      <c r="C54">
        <v>52</v>
      </c>
      <c r="D54" s="10" t="str">
        <f>"0x"&amp;DEC2HEX(HEX2DEC(D$1)+SUM($C$2:C54))</f>
        <v>0x42021E9A</v>
      </c>
    </row>
    <row r="55" spans="1:4" x14ac:dyDescent="0.2">
      <c r="B55" t="s">
        <v>1233</v>
      </c>
      <c r="C55">
        <v>62</v>
      </c>
      <c r="D55" s="10" t="str">
        <f>"0x"&amp;DEC2HEX(HEX2DEC(D$1)+SUM($C$2:C55))</f>
        <v>0x42021ED8</v>
      </c>
    </row>
    <row r="56" spans="1:4" x14ac:dyDescent="0.2">
      <c r="B56" t="s">
        <v>1234</v>
      </c>
      <c r="C56">
        <v>584</v>
      </c>
      <c r="D56" s="10" t="str">
        <f>"0x"&amp;DEC2HEX(HEX2DEC(D$1)+SUM($C$2:C56))</f>
        <v>0x42022120</v>
      </c>
    </row>
    <row r="57" spans="1:4" x14ac:dyDescent="0.2">
      <c r="A57" t="s">
        <v>1235</v>
      </c>
      <c r="D57" s="10"/>
    </row>
    <row r="58" spans="1:4" x14ac:dyDescent="0.2">
      <c r="B58" t="s">
        <v>1236</v>
      </c>
      <c r="C58">
        <v>2</v>
      </c>
      <c r="D58" s="10" t="str">
        <f>"0x"&amp;DEC2HEX(HEX2DEC(D$1)+SUM($C$2:C58))</f>
        <v>0x42022122</v>
      </c>
    </row>
    <row r="59" spans="1:4" x14ac:dyDescent="0.2">
      <c r="B59" t="s">
        <v>1237</v>
      </c>
      <c r="C59">
        <v>62</v>
      </c>
      <c r="D59" s="10" t="str">
        <f>"0x"&amp;DEC2HEX(HEX2DEC(D$1)+SUM($C$2:C59))</f>
        <v>0x42022160</v>
      </c>
    </row>
    <row r="60" spans="1:4" x14ac:dyDescent="0.2">
      <c r="B60" t="s">
        <v>1238</v>
      </c>
      <c r="C60">
        <v>94</v>
      </c>
      <c r="D60" s="10" t="str">
        <f>"0x"&amp;DEC2HEX(HEX2DEC(D$1)+SUM($C$2:C60))</f>
        <v>0x420221BE</v>
      </c>
    </row>
    <row r="61" spans="1:4" x14ac:dyDescent="0.2">
      <c r="B61" t="s">
        <v>1239</v>
      </c>
      <c r="C61">
        <v>76</v>
      </c>
      <c r="D61" s="10" t="str">
        <f>"0x"&amp;DEC2HEX(HEX2DEC(D$1)+SUM($C$2:C61))</f>
        <v>0x4202220A</v>
      </c>
    </row>
    <row r="62" spans="1:4" x14ac:dyDescent="0.2">
      <c r="B62" t="s">
        <v>1240</v>
      </c>
      <c r="C62">
        <v>30</v>
      </c>
      <c r="D62" s="10" t="str">
        <f>"0x"&amp;DEC2HEX(HEX2DEC(D$1)+SUM($C$2:C62))</f>
        <v>0x42022228</v>
      </c>
    </row>
    <row r="63" spans="1:4" x14ac:dyDescent="0.2">
      <c r="B63" t="s">
        <v>1241</v>
      </c>
      <c r="C63">
        <v>86</v>
      </c>
      <c r="D63" s="10" t="str">
        <f>"0x"&amp;DEC2HEX(HEX2DEC(D$1)+SUM($C$2:C63))</f>
        <v>0x4202227E</v>
      </c>
    </row>
    <row r="64" spans="1:4" x14ac:dyDescent="0.2">
      <c r="B64" t="s">
        <v>1242</v>
      </c>
      <c r="C64">
        <v>80</v>
      </c>
      <c r="D64" s="10" t="str">
        <f>"0x"&amp;DEC2HEX(HEX2DEC(D$1)+SUM($C$2:C64))</f>
        <v>0x420222CE</v>
      </c>
    </row>
    <row r="65" spans="1:4" x14ac:dyDescent="0.2">
      <c r="B65" t="s">
        <v>1243</v>
      </c>
      <c r="C65">
        <v>44</v>
      </c>
      <c r="D65" s="10" t="str">
        <f>"0x"&amp;DEC2HEX(HEX2DEC(D$1)+SUM($C$2:C65))</f>
        <v>0x420222FA</v>
      </c>
    </row>
    <row r="66" spans="1:4" x14ac:dyDescent="0.2">
      <c r="A66" t="s">
        <v>209</v>
      </c>
      <c r="D66" s="10"/>
    </row>
    <row r="67" spans="1:4" x14ac:dyDescent="0.2">
      <c r="B67" t="s">
        <v>1244</v>
      </c>
      <c r="C67">
        <v>78</v>
      </c>
      <c r="D67" s="10" t="str">
        <f>"0x"&amp;DEC2HEX(HEX2DEC(D$1)+SUM($C$2:C67))</f>
        <v>0x42022348</v>
      </c>
    </row>
    <row r="68" spans="1:4" x14ac:dyDescent="0.2">
      <c r="B68" t="s">
        <v>1245</v>
      </c>
      <c r="C68">
        <v>112</v>
      </c>
      <c r="D68" s="10" t="str">
        <f>"0x"&amp;DEC2HEX(HEX2DEC(D$1)+SUM($C$2:C68))</f>
        <v>0x420223B8</v>
      </c>
    </row>
    <row r="69" spans="1:4" x14ac:dyDescent="0.2">
      <c r="B69" t="s">
        <v>1246</v>
      </c>
      <c r="C69">
        <v>250</v>
      </c>
      <c r="D69" s="10" t="str">
        <f>"0x"&amp;DEC2HEX(HEX2DEC(D$1)+SUM($C$2:C69))</f>
        <v>0x420224B2</v>
      </c>
    </row>
    <row r="70" spans="1:4" x14ac:dyDescent="0.2">
      <c r="B70" t="s">
        <v>1247</v>
      </c>
      <c r="C70">
        <v>122</v>
      </c>
      <c r="D70" s="10" t="str">
        <f>"0x"&amp;DEC2HEX(HEX2DEC(D$1)+SUM($C$2:C70))</f>
        <v>0x4202252C</v>
      </c>
    </row>
    <row r="71" spans="1:4" x14ac:dyDescent="0.2">
      <c r="B71" t="s">
        <v>1248</v>
      </c>
      <c r="C71">
        <v>26</v>
      </c>
      <c r="D71" s="10" t="str">
        <f>"0x"&amp;DEC2HEX(HEX2DEC(D$1)+SUM($C$2:C71))</f>
        <v>0x42022546</v>
      </c>
    </row>
    <row r="72" spans="1:4" x14ac:dyDescent="0.2">
      <c r="B72" t="s">
        <v>1249</v>
      </c>
      <c r="C72">
        <v>28</v>
      </c>
      <c r="D72" s="10" t="str">
        <f>"0x"&amp;DEC2HEX(HEX2DEC(D$1)+SUM($C$2:C72))</f>
        <v>0x42022562</v>
      </c>
    </row>
    <row r="73" spans="1:4" x14ac:dyDescent="0.2">
      <c r="B73" t="s">
        <v>1250</v>
      </c>
      <c r="C73">
        <v>262</v>
      </c>
      <c r="D73" s="10" t="str">
        <f>"0x"&amp;DEC2HEX(HEX2DEC(D$1)+SUM($C$2:C73))</f>
        <v>0x42022668</v>
      </c>
    </row>
    <row r="74" spans="1:4" x14ac:dyDescent="0.2">
      <c r="B74" t="s">
        <v>1251</v>
      </c>
      <c r="C74">
        <v>114</v>
      </c>
      <c r="D74" s="10" t="str">
        <f>"0x"&amp;DEC2HEX(HEX2DEC(D$1)+SUM($C$2:C74))</f>
        <v>0x420226DA</v>
      </c>
    </row>
    <row r="75" spans="1:4" x14ac:dyDescent="0.2">
      <c r="A75" t="s">
        <v>1252</v>
      </c>
      <c r="D75" s="10"/>
    </row>
    <row r="76" spans="1:4" x14ac:dyDescent="0.2">
      <c r="B76" t="s">
        <v>1253</v>
      </c>
      <c r="C76">
        <v>112</v>
      </c>
      <c r="D76" s="10" t="str">
        <f>"0x"&amp;DEC2HEX(HEX2DEC(D$1)+SUM($C$2:C76))</f>
        <v>0x4202274A</v>
      </c>
    </row>
    <row r="77" spans="1:4" x14ac:dyDescent="0.2">
      <c r="B77" t="s">
        <v>1254</v>
      </c>
      <c r="C77">
        <v>128</v>
      </c>
      <c r="D77" s="10" t="str">
        <f>"0x"&amp;DEC2HEX(HEX2DEC(D$1)+SUM($C$2:C77))</f>
        <v>0x420227CA</v>
      </c>
    </row>
    <row r="78" spans="1:4" x14ac:dyDescent="0.2">
      <c r="B78" t="s">
        <v>1255</v>
      </c>
      <c r="C78">
        <v>104</v>
      </c>
      <c r="D78" s="10" t="str">
        <f>"0x"&amp;DEC2HEX(HEX2DEC(D$1)+SUM($C$2:C78))</f>
        <v>0x42022832</v>
      </c>
    </row>
    <row r="79" spans="1:4" x14ac:dyDescent="0.2">
      <c r="B79" t="s">
        <v>1256</v>
      </c>
      <c r="C79">
        <v>108</v>
      </c>
      <c r="D79" s="10" t="str">
        <f>"0x"&amp;DEC2HEX(HEX2DEC(D$1)+SUM($C$2:C79))</f>
        <v>0x4202289E</v>
      </c>
    </row>
    <row r="80" spans="1:4" x14ac:dyDescent="0.2">
      <c r="B80" t="s">
        <v>1257</v>
      </c>
      <c r="C80">
        <v>124</v>
      </c>
      <c r="D80" s="10" t="str">
        <f>"0x"&amp;DEC2HEX(HEX2DEC(D$1)+SUM($C$2:C80))</f>
        <v>0x4202291A</v>
      </c>
    </row>
    <row r="81" spans="1:4" x14ac:dyDescent="0.2">
      <c r="B81" t="s">
        <v>1258</v>
      </c>
      <c r="C81">
        <v>70</v>
      </c>
      <c r="D81" s="10" t="str">
        <f>"0x"&amp;DEC2HEX(HEX2DEC(D$1)+SUM($C$2:C81))</f>
        <v>0x42022960</v>
      </c>
    </row>
    <row r="82" spans="1:4" x14ac:dyDescent="0.2">
      <c r="B82" t="s">
        <v>1259</v>
      </c>
      <c r="C82">
        <v>72</v>
      </c>
      <c r="D82" s="10" t="str">
        <f>"0x"&amp;DEC2HEX(HEX2DEC(D$1)+SUM($C$2:C82))</f>
        <v>0x420229A8</v>
      </c>
    </row>
    <row r="83" spans="1:4" x14ac:dyDescent="0.2">
      <c r="B83" t="s">
        <v>1260</v>
      </c>
      <c r="C83">
        <v>206</v>
      </c>
      <c r="D83" s="10" t="str">
        <f>"0x"&amp;DEC2HEX(HEX2DEC(D$1)+SUM($C$2:C83))</f>
        <v>0x42022A76</v>
      </c>
    </row>
    <row r="84" spans="1:4" x14ac:dyDescent="0.2">
      <c r="B84" t="s">
        <v>1261</v>
      </c>
      <c r="C84">
        <v>90</v>
      </c>
      <c r="D84" s="10" t="str">
        <f>"0x"&amp;DEC2HEX(HEX2DEC(D$1)+SUM($C$2:C84))</f>
        <v>0x42022AD0</v>
      </c>
    </row>
    <row r="85" spans="1:4" x14ac:dyDescent="0.2">
      <c r="B85" t="s">
        <v>1262</v>
      </c>
      <c r="C85">
        <v>14</v>
      </c>
      <c r="D85" s="10" t="str">
        <f>"0x"&amp;DEC2HEX(HEX2DEC(D$1)+SUM($C$2:C85))</f>
        <v>0x42022ADE</v>
      </c>
    </row>
    <row r="86" spans="1:4" x14ac:dyDescent="0.2">
      <c r="B86" t="s">
        <v>1263</v>
      </c>
      <c r="C86">
        <v>80</v>
      </c>
      <c r="D86" s="10" t="str">
        <f>"0x"&amp;DEC2HEX(HEX2DEC(D$1)+SUM($C$2:C86))</f>
        <v>0x42022B2E</v>
      </c>
    </row>
    <row r="87" spans="1:4" x14ac:dyDescent="0.2">
      <c r="B87" t="s">
        <v>1264</v>
      </c>
      <c r="C87">
        <v>106</v>
      </c>
      <c r="D87" s="10" t="str">
        <f>"0x"&amp;DEC2HEX(HEX2DEC(D$1)+SUM($C$2:C87))</f>
        <v>0x42022B98</v>
      </c>
    </row>
    <row r="88" spans="1:4" x14ac:dyDescent="0.2">
      <c r="B88" t="s">
        <v>1265</v>
      </c>
      <c r="C88">
        <v>222</v>
      </c>
      <c r="D88" s="10" t="str">
        <f>"0x"&amp;DEC2HEX(HEX2DEC(D$1)+SUM($C$2:C88))</f>
        <v>0x42022C76</v>
      </c>
    </row>
    <row r="89" spans="1:4" x14ac:dyDescent="0.2">
      <c r="B89" t="s">
        <v>1266</v>
      </c>
      <c r="C89">
        <v>132</v>
      </c>
      <c r="D89" s="10" t="str">
        <f>"0x"&amp;DEC2HEX(HEX2DEC(D$1)+SUM($C$2:C89))</f>
        <v>0x42022CFA</v>
      </c>
    </row>
    <row r="90" spans="1:4" x14ac:dyDescent="0.2">
      <c r="B90" t="s">
        <v>1267</v>
      </c>
      <c r="C90">
        <v>40</v>
      </c>
      <c r="D90" s="10" t="str">
        <f>"0x"&amp;DEC2HEX(HEX2DEC(D$1)+SUM($C$2:C90))</f>
        <v>0x42022D22</v>
      </c>
    </row>
    <row r="91" spans="1:4" x14ac:dyDescent="0.2">
      <c r="B91" t="s">
        <v>1268</v>
      </c>
      <c r="C91">
        <v>30</v>
      </c>
      <c r="D91" s="10" t="str">
        <f>"0x"&amp;DEC2HEX(HEX2DEC(D$1)+SUM($C$2:C91))</f>
        <v>0x42022D40</v>
      </c>
    </row>
    <row r="92" spans="1:4" x14ac:dyDescent="0.2">
      <c r="A92" t="s">
        <v>1269</v>
      </c>
      <c r="D92" s="10"/>
    </row>
    <row r="93" spans="1:4" x14ac:dyDescent="0.2">
      <c r="B93" t="s">
        <v>1270</v>
      </c>
      <c r="C93">
        <v>10</v>
      </c>
      <c r="D93" s="10" t="str">
        <f>"0x"&amp;DEC2HEX(HEX2DEC(D$1)+SUM($C$2:C93))</f>
        <v>0x42022D4A</v>
      </c>
    </row>
    <row r="94" spans="1:4" x14ac:dyDescent="0.2">
      <c r="B94" t="s">
        <v>1271</v>
      </c>
      <c r="C94">
        <v>4</v>
      </c>
      <c r="D94" s="10" t="str">
        <f>"0x"&amp;DEC2HEX(HEX2DEC(D$1)+SUM($C$2:C94))</f>
        <v>0x42022D4E</v>
      </c>
    </row>
    <row r="95" spans="1:4" x14ac:dyDescent="0.2">
      <c r="A95" t="s">
        <v>1272</v>
      </c>
      <c r="D95" s="10"/>
    </row>
    <row r="96" spans="1:4" x14ac:dyDescent="0.2">
      <c r="B96" t="s">
        <v>1273</v>
      </c>
      <c r="C96">
        <v>328</v>
      </c>
      <c r="D96" s="10" t="str">
        <f>"0x"&amp;DEC2HEX(HEX2DEC(D$1)+SUM($C$2:C96))</f>
        <v>0x42022E96</v>
      </c>
    </row>
    <row r="97" spans="1:4" x14ac:dyDescent="0.2">
      <c r="B97" t="s">
        <v>1274</v>
      </c>
      <c r="C97">
        <v>276</v>
      </c>
      <c r="D97" s="10" t="str">
        <f>"0x"&amp;DEC2HEX(HEX2DEC(D$1)+SUM($C$2:C97))</f>
        <v>0x42022FAA</v>
      </c>
    </row>
    <row r="98" spans="1:4" x14ac:dyDescent="0.2">
      <c r="B98" t="s">
        <v>1275</v>
      </c>
      <c r="C98">
        <v>102</v>
      </c>
      <c r="D98" s="10" t="str">
        <f>"0x"&amp;DEC2HEX(HEX2DEC(D$1)+SUM($C$2:C98))</f>
        <v>0x42023010</v>
      </c>
    </row>
    <row r="99" spans="1:4" x14ac:dyDescent="0.2">
      <c r="B99" t="s">
        <v>1276</v>
      </c>
      <c r="C99">
        <v>304</v>
      </c>
      <c r="D99" s="10" t="str">
        <f>"0x"&amp;DEC2HEX(HEX2DEC(D$1)+SUM($C$2:C99))</f>
        <v>0x42023140</v>
      </c>
    </row>
    <row r="100" spans="1:4" x14ac:dyDescent="0.2">
      <c r="B100" t="s">
        <v>1277</v>
      </c>
      <c r="C100">
        <v>912</v>
      </c>
      <c r="D100" s="10" t="str">
        <f>"0x"&amp;DEC2HEX(HEX2DEC(D$1)+SUM($C$2:C100))</f>
        <v>0x420234D0</v>
      </c>
    </row>
    <row r="101" spans="1:4" x14ac:dyDescent="0.2">
      <c r="B101" t="s">
        <v>1278</v>
      </c>
      <c r="C101">
        <v>132</v>
      </c>
      <c r="D101" s="10" t="str">
        <f>"0x"&amp;DEC2HEX(HEX2DEC(D$1)+SUM($C$2:C101))</f>
        <v>0x42023554</v>
      </c>
    </row>
    <row r="102" spans="1:4" x14ac:dyDescent="0.2">
      <c r="B102" t="s">
        <v>1279</v>
      </c>
      <c r="C102">
        <v>1340</v>
      </c>
      <c r="D102" s="10" t="str">
        <f>"0x"&amp;DEC2HEX(HEX2DEC(D$1)+SUM($C$2:C102))</f>
        <v>0x42023A90</v>
      </c>
    </row>
    <row r="103" spans="1:4" x14ac:dyDescent="0.2">
      <c r="B103" t="s">
        <v>1280</v>
      </c>
      <c r="C103">
        <v>766</v>
      </c>
      <c r="D103" s="10" t="str">
        <f>"0x"&amp;DEC2HEX(HEX2DEC(D$1)+SUM($C$2:C103))</f>
        <v>0x42023D8E</v>
      </c>
    </row>
    <row r="104" spans="1:4" x14ac:dyDescent="0.2">
      <c r="B104" t="s">
        <v>1281</v>
      </c>
      <c r="C104">
        <v>422</v>
      </c>
      <c r="D104" s="10" t="str">
        <f>"0x"&amp;DEC2HEX(HEX2DEC(D$1)+SUM($C$2:C104))</f>
        <v>0x42023F34</v>
      </c>
    </row>
    <row r="105" spans="1:4" x14ac:dyDescent="0.2">
      <c r="B105" t="s">
        <v>1282</v>
      </c>
      <c r="C105">
        <v>724</v>
      </c>
      <c r="D105" s="10" t="str">
        <f>"0x"&amp;DEC2HEX(HEX2DEC(D$1)+SUM($C$2:C105))</f>
        <v>0x42024208</v>
      </c>
    </row>
    <row r="106" spans="1:4" x14ac:dyDescent="0.2">
      <c r="A106" t="s">
        <v>1283</v>
      </c>
      <c r="D106" s="10"/>
    </row>
    <row r="107" spans="1:4" x14ac:dyDescent="0.2">
      <c r="B107" t="s">
        <v>1284</v>
      </c>
      <c r="C107">
        <v>334</v>
      </c>
      <c r="D107" s="10" t="str">
        <f>"0x"&amp;DEC2HEX(HEX2DEC(D$1)+SUM($C$2:C107))</f>
        <v>0x42024356</v>
      </c>
    </row>
    <row r="108" spans="1:4" x14ac:dyDescent="0.2">
      <c r="B108" t="s">
        <v>1285</v>
      </c>
      <c r="C108">
        <v>650</v>
      </c>
      <c r="D108" s="10" t="str">
        <f>"0x"&amp;DEC2HEX(HEX2DEC(D$1)+SUM($C$2:C108))</f>
        <v>0x420245E0</v>
      </c>
    </row>
    <row r="109" spans="1:4" x14ac:dyDescent="0.2">
      <c r="B109" t="s">
        <v>1286</v>
      </c>
      <c r="C109">
        <v>388</v>
      </c>
      <c r="D109" s="10" t="str">
        <f>"0x"&amp;DEC2HEX(HEX2DEC(D$1)+SUM($C$2:C109))</f>
        <v>0x42024764</v>
      </c>
    </row>
    <row r="110" spans="1:4" x14ac:dyDescent="0.2">
      <c r="B110" t="s">
        <v>1287</v>
      </c>
      <c r="C110">
        <v>676</v>
      </c>
      <c r="D110" s="10" t="str">
        <f>"0x"&amp;DEC2HEX(HEX2DEC(D$1)+SUM($C$2:C110))</f>
        <v>0x42024A08</v>
      </c>
    </row>
    <row r="111" spans="1:4" x14ac:dyDescent="0.2">
      <c r="A111" t="s">
        <v>1288</v>
      </c>
      <c r="D111" s="10"/>
    </row>
    <row r="112" spans="1:4" x14ac:dyDescent="0.2">
      <c r="A112" t="s">
        <v>1289</v>
      </c>
      <c r="D112" s="10" t="str">
        <f>"0x"&amp;DEC2HEX(HEX2DEC(D$1)+SUM($C$2:C112))</f>
        <v>0x42024A08</v>
      </c>
    </row>
    <row r="113" spans="1:4" x14ac:dyDescent="0.2">
      <c r="B113" t="s">
        <v>1290</v>
      </c>
      <c r="C113">
        <v>342</v>
      </c>
      <c r="D113" s="10" t="str">
        <f>"0x"&amp;DEC2HEX(HEX2DEC(D$1)+SUM($C$2:C113))</f>
        <v>0x42024B5E</v>
      </c>
    </row>
    <row r="114" spans="1:4" x14ac:dyDescent="0.2">
      <c r="B114" t="s">
        <v>1291</v>
      </c>
      <c r="C114">
        <v>150</v>
      </c>
      <c r="D114" s="10" t="str">
        <f>"0x"&amp;DEC2HEX(HEX2DEC(D$1)+SUM($C$2:C114))</f>
        <v>0x42024BF4</v>
      </c>
    </row>
    <row r="115" spans="1:4" x14ac:dyDescent="0.2">
      <c r="A115" t="s">
        <v>1292</v>
      </c>
      <c r="D115" s="10"/>
    </row>
    <row r="116" spans="1:4" x14ac:dyDescent="0.2">
      <c r="B116" t="s">
        <v>1293</v>
      </c>
      <c r="C116">
        <v>28</v>
      </c>
      <c r="D116" s="10" t="str">
        <f>"0x"&amp;DEC2HEX(HEX2DEC(D$1)+SUM($C$2:C116))</f>
        <v>0x42024C10</v>
      </c>
    </row>
    <row r="117" spans="1:4" x14ac:dyDescent="0.2">
      <c r="B117" t="s">
        <v>1294</v>
      </c>
      <c r="C117">
        <v>92</v>
      </c>
      <c r="D117" s="10" t="str">
        <f>"0x"&amp;DEC2HEX(HEX2DEC(D$1)+SUM($C$2:C117))</f>
        <v>0x42024C6C</v>
      </c>
    </row>
    <row r="118" spans="1:4" x14ac:dyDescent="0.2">
      <c r="B118" t="s">
        <v>1295</v>
      </c>
      <c r="C118">
        <v>48</v>
      </c>
      <c r="D118" s="10" t="str">
        <f>"0x"&amp;DEC2HEX(HEX2DEC(D$1)+SUM($C$2:C118))</f>
        <v>0x42024C9C</v>
      </c>
    </row>
    <row r="119" spans="1:4" x14ac:dyDescent="0.2">
      <c r="B119" t="s">
        <v>1296</v>
      </c>
      <c r="C119">
        <v>120</v>
      </c>
      <c r="D119" s="10" t="str">
        <f>"0x"&amp;DEC2HEX(HEX2DEC(D$1)+SUM($C$2:C119))</f>
        <v>0x42024D14</v>
      </c>
    </row>
    <row r="120" spans="1:4" x14ac:dyDescent="0.2">
      <c r="B120" t="s">
        <v>1297</v>
      </c>
      <c r="C120">
        <v>12</v>
      </c>
      <c r="D120" s="10" t="str">
        <f>"0x"&amp;DEC2HEX(HEX2DEC(D$1)+SUM($C$2:C120))</f>
        <v>0x42024D20</v>
      </c>
    </row>
    <row r="121" spans="1:4" x14ac:dyDescent="0.2">
      <c r="B121" t="s">
        <v>1298</v>
      </c>
      <c r="C121">
        <v>110</v>
      </c>
      <c r="D121" s="10" t="str">
        <f>"0x"&amp;DEC2HEX(HEX2DEC(D$1)+SUM($C$2:C121))</f>
        <v>0x42024D8E</v>
      </c>
    </row>
    <row r="122" spans="1:4" x14ac:dyDescent="0.2">
      <c r="B122" t="s">
        <v>1299</v>
      </c>
      <c r="C122">
        <v>2</v>
      </c>
      <c r="D122" s="10" t="str">
        <f>"0x"&amp;DEC2HEX(HEX2DEC(D$1)+SUM($C$2:C122))</f>
        <v>0x42024D90</v>
      </c>
    </row>
    <row r="123" spans="1:4" x14ac:dyDescent="0.2">
      <c r="B123" t="s">
        <v>1300</v>
      </c>
      <c r="C123">
        <v>20</v>
      </c>
      <c r="D123" s="10" t="str">
        <f>"0x"&amp;DEC2HEX(HEX2DEC(D$1)+SUM($C$2:C123))</f>
        <v>0x42024DA4</v>
      </c>
    </row>
    <row r="124" spans="1:4" x14ac:dyDescent="0.2">
      <c r="B124" t="s">
        <v>1301</v>
      </c>
      <c r="C124">
        <v>38</v>
      </c>
      <c r="D124" s="10" t="str">
        <f>"0x"&amp;DEC2HEX(HEX2DEC(D$1)+SUM($C$2:C124))</f>
        <v>0x42024DCA</v>
      </c>
    </row>
    <row r="125" spans="1:4" x14ac:dyDescent="0.2">
      <c r="B125" t="s">
        <v>1302</v>
      </c>
      <c r="C125">
        <v>90</v>
      </c>
      <c r="D125" s="10" t="str">
        <f>"0x"&amp;DEC2HEX(HEX2DEC(D$1)+SUM($C$2:C125))</f>
        <v>0x42024E24</v>
      </c>
    </row>
    <row r="126" spans="1:4" x14ac:dyDescent="0.2">
      <c r="A126" t="s">
        <v>1303</v>
      </c>
      <c r="D126" s="10"/>
    </row>
    <row r="127" spans="1:4" x14ac:dyDescent="0.2">
      <c r="B127" t="s">
        <v>1304</v>
      </c>
      <c r="C127">
        <v>494</v>
      </c>
      <c r="D127" s="10" t="str">
        <f>"0x"&amp;DEC2HEX(HEX2DEC(D$1)+SUM($C$2:C127))</f>
        <v>0x42025012</v>
      </c>
    </row>
    <row r="128" spans="1:4" x14ac:dyDescent="0.2">
      <c r="B128" t="s">
        <v>1305</v>
      </c>
      <c r="C128">
        <v>228</v>
      </c>
      <c r="D128" s="10" t="str">
        <f>"0x"&amp;DEC2HEX(HEX2DEC(D$1)+SUM($C$2:C128))</f>
        <v>0x420250F6</v>
      </c>
    </row>
    <row r="129" spans="2:4" x14ac:dyDescent="0.2">
      <c r="B129" t="s">
        <v>1306</v>
      </c>
      <c r="C129">
        <v>260</v>
      </c>
      <c r="D129" s="10" t="str">
        <f>"0x"&amp;DEC2HEX(HEX2DEC(D$1)+SUM($C$2:C129))</f>
        <v>0x420251FA</v>
      </c>
    </row>
    <row r="130" spans="2:4" x14ac:dyDescent="0.2">
      <c r="B130" t="s">
        <v>1307</v>
      </c>
      <c r="C130">
        <v>164</v>
      </c>
      <c r="D130" s="10" t="str">
        <f>"0x"&amp;DEC2HEX(HEX2DEC(D$1)+SUM($C$2:C130))</f>
        <v>0x4202529E</v>
      </c>
    </row>
    <row r="131" spans="2:4" x14ac:dyDescent="0.2">
      <c r="B131" t="s">
        <v>1308</v>
      </c>
      <c r="C131">
        <v>366</v>
      </c>
      <c r="D131" s="10" t="str">
        <f>"0x"&amp;DEC2HEX(HEX2DEC(D$1)+SUM($C$2:C131))</f>
        <v>0x4202540C</v>
      </c>
    </row>
    <row r="132" spans="2:4" x14ac:dyDescent="0.2">
      <c r="B132" t="s">
        <v>1309</v>
      </c>
      <c r="C132">
        <v>294</v>
      </c>
      <c r="D132" s="10" t="str">
        <f>"0x"&amp;DEC2HEX(HEX2DEC(D$1)+SUM($C$2:C132))</f>
        <v>0x42025532</v>
      </c>
    </row>
    <row r="133" spans="2:4" x14ac:dyDescent="0.2">
      <c r="B133" t="s">
        <v>1310</v>
      </c>
      <c r="C133">
        <v>348</v>
      </c>
      <c r="D133" s="10" t="str">
        <f>"0x"&amp;DEC2HEX(HEX2DEC(D$1)+SUM($C$2:C133))</f>
        <v>0x4202568E</v>
      </c>
    </row>
    <row r="134" spans="2:4" x14ac:dyDescent="0.2">
      <c r="B134" t="s">
        <v>1311</v>
      </c>
      <c r="C134">
        <v>240</v>
      </c>
      <c r="D134" s="10" t="str">
        <f>"0x"&amp;DEC2HEX(HEX2DEC(D$1)+SUM($C$2:C134))</f>
        <v>0x4202577E</v>
      </c>
    </row>
    <row r="135" spans="2:4" x14ac:dyDescent="0.2">
      <c r="B135" t="s">
        <v>1312</v>
      </c>
      <c r="C135">
        <v>148</v>
      </c>
      <c r="D135" s="10" t="str">
        <f>"0x"&amp;DEC2HEX(HEX2DEC(D$1)+SUM($C$2:C135))</f>
        <v>0x42025812</v>
      </c>
    </row>
    <row r="136" spans="2:4" x14ac:dyDescent="0.2">
      <c r="B136" t="s">
        <v>1313</v>
      </c>
      <c r="C136">
        <v>116</v>
      </c>
      <c r="D136" s="10" t="str">
        <f>"0x"&amp;DEC2HEX(HEX2DEC(D$1)+SUM($C$2:C136))</f>
        <v>0x42025886</v>
      </c>
    </row>
    <row r="137" spans="2:4" x14ac:dyDescent="0.2">
      <c r="B137" t="s">
        <v>1314</v>
      </c>
      <c r="C137">
        <v>62</v>
      </c>
      <c r="D137" s="10" t="str">
        <f>"0x"&amp;DEC2HEX(HEX2DEC(D$1)+SUM($C$2:C137))</f>
        <v>0x420258C4</v>
      </c>
    </row>
    <row r="138" spans="2:4" x14ac:dyDescent="0.2">
      <c r="B138" t="s">
        <v>1315</v>
      </c>
      <c r="C138">
        <v>340</v>
      </c>
      <c r="D138" s="10" t="str">
        <f>"0x"&amp;DEC2HEX(HEX2DEC(D$1)+SUM($C$2:C138))</f>
        <v>0x42025A18</v>
      </c>
    </row>
    <row r="139" spans="2:4" x14ac:dyDescent="0.2">
      <c r="B139" t="s">
        <v>1316</v>
      </c>
      <c r="C139">
        <v>286</v>
      </c>
      <c r="D139" s="10" t="str">
        <f>"0x"&amp;DEC2HEX(HEX2DEC(D$1)+SUM($C$2:C139))</f>
        <v>0x42025B36</v>
      </c>
    </row>
    <row r="140" spans="2:4" x14ac:dyDescent="0.2">
      <c r="B140" t="s">
        <v>1317</v>
      </c>
      <c r="C140">
        <v>464</v>
      </c>
      <c r="D140" s="10" t="str">
        <f>"0x"&amp;DEC2HEX(HEX2DEC(D$1)+SUM($C$2:C140))</f>
        <v>0x42025D06</v>
      </c>
    </row>
    <row r="141" spans="2:4" x14ac:dyDescent="0.2">
      <c r="B141" t="s">
        <v>1318</v>
      </c>
      <c r="C141">
        <v>366</v>
      </c>
      <c r="D141" s="10" t="str">
        <f>"0x"&amp;DEC2HEX(HEX2DEC(D$1)+SUM($C$2:C141))</f>
        <v>0x42025E74</v>
      </c>
    </row>
    <row r="142" spans="2:4" x14ac:dyDescent="0.2">
      <c r="B142" t="s">
        <v>1319</v>
      </c>
      <c r="C142">
        <v>140</v>
      </c>
      <c r="D142" s="10" t="str">
        <f>"0x"&amp;DEC2HEX(HEX2DEC(D$1)+SUM($C$2:C142))</f>
        <v>0x42025F00</v>
      </c>
    </row>
    <row r="143" spans="2:4" x14ac:dyDescent="0.2">
      <c r="B143" t="s">
        <v>1320</v>
      </c>
      <c r="C143">
        <v>494</v>
      </c>
      <c r="D143" s="10" t="str">
        <f>"0x"&amp;DEC2HEX(HEX2DEC(D$1)+SUM($C$2:C143))</f>
        <v>0x420260EE</v>
      </c>
    </row>
    <row r="144" spans="2:4" x14ac:dyDescent="0.2">
      <c r="B144" t="s">
        <v>1321</v>
      </c>
      <c r="C144">
        <v>154</v>
      </c>
      <c r="D144" s="10" t="str">
        <f>"0x"&amp;DEC2HEX(HEX2DEC(D$1)+SUM($C$2:C144))</f>
        <v>0x42026188</v>
      </c>
    </row>
    <row r="145" spans="1:6" x14ac:dyDescent="0.2">
      <c r="A145" t="s">
        <v>229</v>
      </c>
      <c r="D145" s="10"/>
    </row>
    <row r="146" spans="1:6" x14ac:dyDescent="0.2">
      <c r="B146" t="s">
        <v>1322</v>
      </c>
      <c r="C146">
        <v>50</v>
      </c>
      <c r="D146" s="10" t="str">
        <f>"0x"&amp;DEC2HEX(HEX2DEC(D$1)+SUM($C$2:C146))</f>
        <v>0x420261BA</v>
      </c>
    </row>
    <row r="147" spans="1:6" x14ac:dyDescent="0.2">
      <c r="B147" t="s">
        <v>1323</v>
      </c>
      <c r="C147">
        <v>32</v>
      </c>
      <c r="D147" s="10" t="str">
        <f>"0x"&amp;DEC2HEX(HEX2DEC(D$1)+SUM($C$2:C147))</f>
        <v>0x420261DA</v>
      </c>
    </row>
    <row r="148" spans="1:6" x14ac:dyDescent="0.2">
      <c r="B148" t="s">
        <v>1324</v>
      </c>
      <c r="C148">
        <v>80</v>
      </c>
      <c r="D148" s="10" t="str">
        <f>"0x"&amp;DEC2HEX(HEX2DEC(D$1)+SUM($C$2:C148))</f>
        <v>0x4202622A</v>
      </c>
    </row>
    <row r="149" spans="1:6" x14ac:dyDescent="0.2">
      <c r="B149" t="s">
        <v>1325</v>
      </c>
      <c r="C149">
        <v>262</v>
      </c>
      <c r="D149" s="10" t="str">
        <f>"0x"&amp;DEC2HEX(HEX2DEC(D$1)+SUM($C$2:C149))</f>
        <v>0x42026330</v>
      </c>
    </row>
    <row r="150" spans="1:6" x14ac:dyDescent="0.2">
      <c r="B150" t="s">
        <v>1326</v>
      </c>
      <c r="C150">
        <v>126</v>
      </c>
      <c r="D150" s="10" t="str">
        <f>"0x"&amp;DEC2HEX(HEX2DEC(D$1)+SUM($C$2:C150))</f>
        <v>0x420263AE</v>
      </c>
    </row>
    <row r="151" spans="1:6" x14ac:dyDescent="0.2">
      <c r="B151" t="s">
        <v>1327</v>
      </c>
      <c r="C151">
        <v>174</v>
      </c>
      <c r="D151" s="10" t="str">
        <f>"0x"&amp;DEC2HEX(HEX2DEC(D$1)+SUM($C$2:C151))</f>
        <v>0x4202645C</v>
      </c>
    </row>
    <row r="152" spans="1:6" x14ac:dyDescent="0.2">
      <c r="B152" t="s">
        <v>1328</v>
      </c>
      <c r="C152">
        <v>72</v>
      </c>
      <c r="D152" s="10" t="str">
        <f>"0x"&amp;DEC2HEX(HEX2DEC(D$1)+SUM($C$2:C152))</f>
        <v>0x420264A4</v>
      </c>
    </row>
    <row r="153" spans="1:6" x14ac:dyDescent="0.2">
      <c r="B153" t="s">
        <v>1329</v>
      </c>
      <c r="C153">
        <v>276</v>
      </c>
      <c r="D153" s="10" t="str">
        <f>"0x"&amp;DEC2HEX(HEX2DEC(D$1)+SUM($C$2:C153))</f>
        <v>0x420265B8</v>
      </c>
    </row>
    <row r="154" spans="1:6" x14ac:dyDescent="0.2">
      <c r="B154" t="s">
        <v>1330</v>
      </c>
      <c r="C154">
        <v>244</v>
      </c>
      <c r="D154" s="10" t="str">
        <f>"0x"&amp;DEC2HEX(HEX2DEC(D$1)+SUM($C$2:C154))</f>
        <v>0x420266AC</v>
      </c>
    </row>
    <row r="155" spans="1:6" x14ac:dyDescent="0.2">
      <c r="B155" t="s">
        <v>1331</v>
      </c>
      <c r="C155">
        <v>270</v>
      </c>
      <c r="D155" s="10" t="str">
        <f>"0x"&amp;DEC2HEX(HEX2DEC(D$1)+SUM($C$2:C155))</f>
        <v>0x420267BA</v>
      </c>
    </row>
    <row r="156" spans="1:6" x14ac:dyDescent="0.2">
      <c r="B156" t="s">
        <v>1332</v>
      </c>
      <c r="C156">
        <v>150</v>
      </c>
      <c r="D156" s="10" t="str">
        <f>"0x"&amp;DEC2HEX(HEX2DEC(D$1)+SUM($C$2:C156))</f>
        <v>0x42026850</v>
      </c>
    </row>
    <row r="157" spans="1:6" x14ac:dyDescent="0.2">
      <c r="B157" t="s">
        <v>1333</v>
      </c>
      <c r="C157">
        <v>34</v>
      </c>
      <c r="D157" s="10" t="str">
        <f>"0x"&amp;DEC2HEX(HEX2DEC(D$1)+SUM($C$2:C157))</f>
        <v>0x42026872</v>
      </c>
    </row>
    <row r="158" spans="1:6" x14ac:dyDescent="0.2">
      <c r="B158" t="s">
        <v>1334</v>
      </c>
      <c r="C158">
        <v>262</v>
      </c>
      <c r="D158" s="10" t="str">
        <f>"0x"&amp;DEC2HEX(HEX2DEC(D$1)+SUM($C$2:C158))</f>
        <v>0x42026978</v>
      </c>
      <c r="E158" s="8">
        <f>SUM($C$2:C158)</f>
        <v>29396</v>
      </c>
      <c r="F158" s="9" t="str">
        <f>"0x"&amp;DEC2HEX(E158)</f>
        <v>0x72D4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79C0-B92E-F34A-A2C6-5128FF74E2D3}">
  <dimension ref="A1:F681"/>
  <sheetViews>
    <sheetView workbookViewId="0">
      <selection activeCell="D2" sqref="D2"/>
    </sheetView>
  </sheetViews>
  <sheetFormatPr baseColWidth="10" defaultRowHeight="16" x14ac:dyDescent="0.2"/>
  <cols>
    <col min="1" max="1" width="26.83203125" customWidth="1"/>
    <col min="2" max="2" width="41.1640625" customWidth="1"/>
    <col min="4" max="4" width="15.6640625" customWidth="1"/>
  </cols>
  <sheetData>
    <row r="1" spans="1:4" x14ac:dyDescent="0.2">
      <c r="A1" t="s">
        <v>1335</v>
      </c>
      <c r="D1">
        <v>42027978</v>
      </c>
    </row>
    <row r="2" spans="1:4" x14ac:dyDescent="0.2">
      <c r="B2" t="s">
        <v>1336</v>
      </c>
      <c r="C2">
        <v>4</v>
      </c>
      <c r="D2" s="10" t="str">
        <f>"0x"&amp;DEC2HEX(HEX2DEC(D$1)+SUM($C$2:C2))</f>
        <v>0x4202797C</v>
      </c>
    </row>
    <row r="3" spans="1:4" x14ac:dyDescent="0.2">
      <c r="B3" t="s">
        <v>1337</v>
      </c>
      <c r="C3">
        <v>4</v>
      </c>
      <c r="D3" s="10" t="str">
        <f>"0x"&amp;DEC2HEX(HEX2DEC(D$1)+SUM($C$2:C3))</f>
        <v>0x42027980</v>
      </c>
    </row>
    <row r="4" spans="1:4" x14ac:dyDescent="0.2">
      <c r="B4" t="s">
        <v>1338</v>
      </c>
      <c r="C4">
        <v>128</v>
      </c>
      <c r="D4" s="10" t="str">
        <f>"0x"&amp;DEC2HEX(HEX2DEC(D$1)+SUM($C$2:C4))</f>
        <v>0x42027A00</v>
      </c>
    </row>
    <row r="5" spans="1:4" x14ac:dyDescent="0.2">
      <c r="B5" t="s">
        <v>1339</v>
      </c>
      <c r="C5">
        <v>150</v>
      </c>
      <c r="D5" s="10" t="str">
        <f>"0x"&amp;DEC2HEX(HEX2DEC(D$1)+SUM($C$2:C5))</f>
        <v>0x42027A96</v>
      </c>
    </row>
    <row r="6" spans="1:4" x14ac:dyDescent="0.2">
      <c r="B6" t="s">
        <v>1340</v>
      </c>
      <c r="C6">
        <v>128</v>
      </c>
      <c r="D6" s="10" t="str">
        <f>"0x"&amp;DEC2HEX(HEX2DEC(D$1)+SUM($C$2:C6))</f>
        <v>0x42027B16</v>
      </c>
    </row>
    <row r="7" spans="1:4" x14ac:dyDescent="0.2">
      <c r="B7" t="s">
        <v>1341</v>
      </c>
      <c r="C7">
        <v>204</v>
      </c>
      <c r="D7" s="10" t="str">
        <f>"0x"&amp;DEC2HEX(HEX2DEC(D$1)+SUM($C$2:C7))</f>
        <v>0x42027BE2</v>
      </c>
    </row>
    <row r="8" spans="1:4" x14ac:dyDescent="0.2">
      <c r="A8" t="s">
        <v>1342</v>
      </c>
      <c r="D8" s="10" t="str">
        <f>"0x"&amp;DEC2HEX(HEX2DEC(D$1)+SUM($C$2:C8))</f>
        <v>0x42027BE2</v>
      </c>
    </row>
    <row r="9" spans="1:4" x14ac:dyDescent="0.2">
      <c r="B9" t="s">
        <v>1343</v>
      </c>
      <c r="C9">
        <v>20</v>
      </c>
      <c r="D9" s="10" t="str">
        <f>"0x"&amp;DEC2HEX(HEX2DEC(D$1)+SUM($C$2:C9))</f>
        <v>0x42027BF6</v>
      </c>
    </row>
    <row r="10" spans="1:4" x14ac:dyDescent="0.2">
      <c r="B10" t="s">
        <v>1344</v>
      </c>
      <c r="C10">
        <v>274</v>
      </c>
      <c r="D10" s="10" t="str">
        <f>"0x"&amp;DEC2HEX(HEX2DEC(D$1)+SUM($C$2:C10))</f>
        <v>0x42027D08</v>
      </c>
    </row>
    <row r="11" spans="1:4" x14ac:dyDescent="0.2">
      <c r="B11" t="s">
        <v>1345</v>
      </c>
      <c r="C11">
        <v>46</v>
      </c>
      <c r="D11" s="10" t="str">
        <f>"0x"&amp;DEC2HEX(HEX2DEC(D$1)+SUM($C$2:C11))</f>
        <v>0x42027D36</v>
      </c>
    </row>
    <row r="12" spans="1:4" x14ac:dyDescent="0.2">
      <c r="A12" t="s">
        <v>9</v>
      </c>
      <c r="D12" s="10"/>
    </row>
    <row r="13" spans="1:4" x14ac:dyDescent="0.2">
      <c r="B13" t="s">
        <v>1346</v>
      </c>
      <c r="C13">
        <v>4</v>
      </c>
      <c r="D13" s="10" t="str">
        <f>"0x"&amp;DEC2HEX(HEX2DEC(D$1)+SUM($C$2:C13))</f>
        <v>0x42027D3A</v>
      </c>
    </row>
    <row r="14" spans="1:4" x14ac:dyDescent="0.2">
      <c r="B14" t="s">
        <v>1347</v>
      </c>
      <c r="C14">
        <v>118</v>
      </c>
      <c r="D14" s="10" t="str">
        <f>"0x"&amp;DEC2HEX(HEX2DEC(D$1)+SUM($C$2:C14))</f>
        <v>0x42027DB0</v>
      </c>
    </row>
    <row r="15" spans="1:4" x14ac:dyDescent="0.2">
      <c r="B15" t="s">
        <v>1348</v>
      </c>
      <c r="C15">
        <v>20</v>
      </c>
      <c r="D15" s="10" t="str">
        <f>"0x"&amp;DEC2HEX(HEX2DEC(D$1)+SUM($C$2:C15))</f>
        <v>0x42027DC4</v>
      </c>
    </row>
    <row r="16" spans="1:4" x14ac:dyDescent="0.2">
      <c r="B16" t="s">
        <v>1349</v>
      </c>
      <c r="C16">
        <v>10</v>
      </c>
      <c r="D16" s="10" t="str">
        <f>"0x"&amp;DEC2HEX(HEX2DEC(D$1)+SUM($C$2:C16))</f>
        <v>0x42027DCE</v>
      </c>
    </row>
    <row r="17" spans="2:4" x14ac:dyDescent="0.2">
      <c r="B17" t="s">
        <v>1350</v>
      </c>
      <c r="C17">
        <v>10</v>
      </c>
      <c r="D17" s="10" t="str">
        <f>"0x"&amp;DEC2HEX(HEX2DEC(D$1)+SUM($C$2:C17))</f>
        <v>0x42027DD8</v>
      </c>
    </row>
    <row r="18" spans="2:4" x14ac:dyDescent="0.2">
      <c r="B18" t="s">
        <v>1351</v>
      </c>
      <c r="C18">
        <v>88</v>
      </c>
      <c r="D18" s="10" t="str">
        <f>"0x"&amp;DEC2HEX(HEX2DEC(D$1)+SUM($C$2:C18))</f>
        <v>0x42027E30</v>
      </c>
    </row>
    <row r="19" spans="2:4" x14ac:dyDescent="0.2">
      <c r="B19" t="s">
        <v>1352</v>
      </c>
      <c r="C19">
        <v>40</v>
      </c>
      <c r="D19" s="10" t="str">
        <f>"0x"&amp;DEC2HEX(HEX2DEC(D$1)+SUM($C$2:C19))</f>
        <v>0x42027E58</v>
      </c>
    </row>
    <row r="20" spans="2:4" x14ac:dyDescent="0.2">
      <c r="B20" t="s">
        <v>1353</v>
      </c>
      <c r="C20">
        <v>42</v>
      </c>
      <c r="D20" s="10" t="str">
        <f>"0x"&amp;DEC2HEX(HEX2DEC(D$1)+SUM($C$2:C20))</f>
        <v>0x42027E82</v>
      </c>
    </row>
    <row r="21" spans="2:4" x14ac:dyDescent="0.2">
      <c r="B21" t="s">
        <v>1354</v>
      </c>
      <c r="C21">
        <v>414</v>
      </c>
      <c r="D21" s="10" t="str">
        <f>"0x"&amp;DEC2HEX(HEX2DEC(D$1)+SUM($C$2:C21))</f>
        <v>0x42028020</v>
      </c>
    </row>
    <row r="22" spans="2:4" x14ac:dyDescent="0.2">
      <c r="B22" t="s">
        <v>1355</v>
      </c>
      <c r="C22">
        <v>390</v>
      </c>
      <c r="D22" s="10" t="str">
        <f>"0x"&amp;DEC2HEX(HEX2DEC(D$1)+SUM($C$2:C22))</f>
        <v>0x420281A6</v>
      </c>
    </row>
    <row r="23" spans="2:4" x14ac:dyDescent="0.2">
      <c r="B23" t="s">
        <v>1356</v>
      </c>
      <c r="C23">
        <v>52</v>
      </c>
      <c r="D23" s="10" t="str">
        <f>"0x"&amp;DEC2HEX(HEX2DEC(D$1)+SUM($C$2:C23))</f>
        <v>0x420281DA</v>
      </c>
    </row>
    <row r="24" spans="2:4" x14ac:dyDescent="0.2">
      <c r="B24" t="s">
        <v>1357</v>
      </c>
      <c r="C24">
        <v>54</v>
      </c>
      <c r="D24" s="10" t="str">
        <f>"0x"&amp;DEC2HEX(HEX2DEC(D$1)+SUM($C$2:C24))</f>
        <v>0x42028210</v>
      </c>
    </row>
    <row r="25" spans="2:4" x14ac:dyDescent="0.2">
      <c r="B25" t="s">
        <v>1358</v>
      </c>
      <c r="C25">
        <v>140</v>
      </c>
      <c r="D25" s="10" t="str">
        <f>"0x"&amp;DEC2HEX(HEX2DEC(D$1)+SUM($C$2:C25))</f>
        <v>0x4202829C</v>
      </c>
    </row>
    <row r="26" spans="2:4" x14ac:dyDescent="0.2">
      <c r="B26" t="s">
        <v>1359</v>
      </c>
      <c r="C26">
        <v>100</v>
      </c>
      <c r="D26" s="10" t="str">
        <f>"0x"&amp;DEC2HEX(HEX2DEC(D$1)+SUM($C$2:C26))</f>
        <v>0x42028300</v>
      </c>
    </row>
    <row r="27" spans="2:4" x14ac:dyDescent="0.2">
      <c r="B27" t="s">
        <v>1360</v>
      </c>
      <c r="C27">
        <v>214</v>
      </c>
      <c r="D27" s="10" t="str">
        <f>"0x"&amp;DEC2HEX(HEX2DEC(D$1)+SUM($C$2:C27))</f>
        <v>0x420283D6</v>
      </c>
    </row>
    <row r="28" spans="2:4" x14ac:dyDescent="0.2">
      <c r="B28" t="s">
        <v>1361</v>
      </c>
      <c r="C28">
        <v>118</v>
      </c>
      <c r="D28" s="10" t="str">
        <f>"0x"&amp;DEC2HEX(HEX2DEC(D$1)+SUM($C$2:C28))</f>
        <v>0x4202844C</v>
      </c>
    </row>
    <row r="29" spans="2:4" x14ac:dyDescent="0.2">
      <c r="B29" t="s">
        <v>1362</v>
      </c>
      <c r="C29">
        <v>574</v>
      </c>
      <c r="D29" s="10" t="str">
        <f>"0x"&amp;DEC2HEX(HEX2DEC(D$1)+SUM($C$2:C29))</f>
        <v>0x4202868A</v>
      </c>
    </row>
    <row r="30" spans="2:4" x14ac:dyDescent="0.2">
      <c r="B30" t="s">
        <v>1363</v>
      </c>
      <c r="C30">
        <v>44</v>
      </c>
      <c r="D30" s="10" t="str">
        <f>"0x"&amp;DEC2HEX(HEX2DEC(D$1)+SUM($C$2:C30))</f>
        <v>0x420286B6</v>
      </c>
    </row>
    <row r="31" spans="2:4" x14ac:dyDescent="0.2">
      <c r="B31" t="s">
        <v>1365</v>
      </c>
      <c r="C31">
        <v>80</v>
      </c>
      <c r="D31" s="10" t="str">
        <f>"0x"&amp;DEC2HEX(HEX2DEC(D$1)+SUM($C$2:C31))</f>
        <v>0x42028706</v>
      </c>
    </row>
    <row r="32" spans="2:4" x14ac:dyDescent="0.2">
      <c r="B32" t="s">
        <v>1366</v>
      </c>
      <c r="C32">
        <v>68</v>
      </c>
      <c r="D32" s="10" t="str">
        <f>"0x"&amp;DEC2HEX(HEX2DEC(D$1)+SUM($C$2:C32))</f>
        <v>0x4202874A</v>
      </c>
    </row>
    <row r="33" spans="2:4" x14ac:dyDescent="0.2">
      <c r="B33" t="s">
        <v>1367</v>
      </c>
      <c r="C33">
        <v>144</v>
      </c>
      <c r="D33" s="10" t="str">
        <f>"0x"&amp;DEC2HEX(HEX2DEC(D$1)+SUM($C$2:C33))</f>
        <v>0x420287DA</v>
      </c>
    </row>
    <row r="34" spans="2:4" x14ac:dyDescent="0.2">
      <c r="B34" t="s">
        <v>1368</v>
      </c>
      <c r="C34">
        <v>90</v>
      </c>
      <c r="D34" s="10" t="str">
        <f>"0x"&amp;DEC2HEX(HEX2DEC(D$1)+SUM($C$2:C34))</f>
        <v>0x42028834</v>
      </c>
    </row>
    <row r="35" spans="2:4" x14ac:dyDescent="0.2">
      <c r="B35" t="s">
        <v>1369</v>
      </c>
      <c r="C35">
        <v>110</v>
      </c>
      <c r="D35" s="10" t="str">
        <f>"0x"&amp;DEC2HEX(HEX2DEC(D$1)+SUM($C$2:C35))</f>
        <v>0x420288A2</v>
      </c>
    </row>
    <row r="36" spans="2:4" x14ac:dyDescent="0.2">
      <c r="B36" t="s">
        <v>1370</v>
      </c>
      <c r="C36">
        <v>82</v>
      </c>
      <c r="D36" s="10" t="str">
        <f>"0x"&amp;DEC2HEX(HEX2DEC(D$1)+SUM($C$2:C36))</f>
        <v>0x420288F4</v>
      </c>
    </row>
    <row r="37" spans="2:4" x14ac:dyDescent="0.2">
      <c r="B37" t="s">
        <v>1371</v>
      </c>
      <c r="C37">
        <v>82</v>
      </c>
      <c r="D37" s="10" t="str">
        <f>"0x"&amp;DEC2HEX(HEX2DEC(D$1)+SUM($C$2:C37))</f>
        <v>0x42028946</v>
      </c>
    </row>
    <row r="38" spans="2:4" x14ac:dyDescent="0.2">
      <c r="B38" t="s">
        <v>1372</v>
      </c>
      <c r="C38">
        <v>196</v>
      </c>
      <c r="D38" s="10" t="str">
        <f>"0x"&amp;DEC2HEX(HEX2DEC(D$1)+SUM($C$2:C38))</f>
        <v>0x42028A0A</v>
      </c>
    </row>
    <row r="39" spans="2:4" x14ac:dyDescent="0.2">
      <c r="B39" t="s">
        <v>1373</v>
      </c>
      <c r="C39">
        <v>94</v>
      </c>
      <c r="D39" s="10" t="str">
        <f>"0x"&amp;DEC2HEX(HEX2DEC(D$1)+SUM($C$2:C39))</f>
        <v>0x42028A68</v>
      </c>
    </row>
    <row r="40" spans="2:4" x14ac:dyDescent="0.2">
      <c r="B40" t="s">
        <v>1374</v>
      </c>
      <c r="C40">
        <v>46</v>
      </c>
      <c r="D40" s="10" t="str">
        <f>"0x"&amp;DEC2HEX(HEX2DEC(D$1)+SUM($C$2:C40))</f>
        <v>0x42028A96</v>
      </c>
    </row>
    <row r="41" spans="2:4" x14ac:dyDescent="0.2">
      <c r="B41" t="s">
        <v>1375</v>
      </c>
      <c r="C41">
        <v>328</v>
      </c>
      <c r="D41" s="10" t="str">
        <f>"0x"&amp;DEC2HEX(HEX2DEC(D$1)+SUM($C$2:C41))</f>
        <v>0x42028BDE</v>
      </c>
    </row>
    <row r="42" spans="2:4" x14ac:dyDescent="0.2">
      <c r="B42" t="s">
        <v>1376</v>
      </c>
      <c r="C42">
        <v>64</v>
      </c>
      <c r="D42" s="10" t="str">
        <f>"0x"&amp;DEC2HEX(HEX2DEC(D$1)+SUM($C$2:C42))</f>
        <v>0x42028C1E</v>
      </c>
    </row>
    <row r="43" spans="2:4" x14ac:dyDescent="0.2">
      <c r="B43" t="s">
        <v>1377</v>
      </c>
      <c r="C43">
        <v>64</v>
      </c>
      <c r="D43" s="10" t="str">
        <f>"0x"&amp;DEC2HEX(HEX2DEC(D$1)+SUM($C$2:C43))</f>
        <v>0x42028C5E</v>
      </c>
    </row>
    <row r="44" spans="2:4" x14ac:dyDescent="0.2">
      <c r="B44" t="s">
        <v>1378</v>
      </c>
      <c r="C44">
        <v>38</v>
      </c>
      <c r="D44" s="10" t="str">
        <f>"0x"&amp;DEC2HEX(HEX2DEC(D$1)+SUM($C$2:C44))</f>
        <v>0x42028C84</v>
      </c>
    </row>
    <row r="45" spans="2:4" x14ac:dyDescent="0.2">
      <c r="B45" t="s">
        <v>1379</v>
      </c>
      <c r="C45">
        <v>38</v>
      </c>
      <c r="D45" s="10" t="str">
        <f>"0x"&amp;DEC2HEX(HEX2DEC(D$1)+SUM($C$2:C45))</f>
        <v>0x42028CAA</v>
      </c>
    </row>
    <row r="46" spans="2:4" x14ac:dyDescent="0.2">
      <c r="B46" t="s">
        <v>1380</v>
      </c>
      <c r="C46">
        <v>82</v>
      </c>
      <c r="D46" s="10" t="str">
        <f>"0x"&amp;DEC2HEX(HEX2DEC(D$1)+SUM($C$2:C46))</f>
        <v>0x42028CFC</v>
      </c>
    </row>
    <row r="47" spans="2:4" x14ac:dyDescent="0.2">
      <c r="B47" t="s">
        <v>1381</v>
      </c>
      <c r="C47">
        <v>148</v>
      </c>
      <c r="D47" s="10" t="str">
        <f>"0x"&amp;DEC2HEX(HEX2DEC(D$1)+SUM($C$2:C47))</f>
        <v>0x42028D90</v>
      </c>
    </row>
    <row r="48" spans="2:4" x14ac:dyDescent="0.2">
      <c r="B48" t="s">
        <v>1382</v>
      </c>
      <c r="C48">
        <v>76</v>
      </c>
      <c r="D48" s="10" t="str">
        <f>"0x"&amp;DEC2HEX(HEX2DEC(D$1)+SUM($C$2:C48))</f>
        <v>0x42028DDC</v>
      </c>
    </row>
    <row r="49" spans="1:4" x14ac:dyDescent="0.2">
      <c r="A49" t="s">
        <v>1383</v>
      </c>
      <c r="D49" s="10"/>
    </row>
    <row r="50" spans="1:4" x14ac:dyDescent="0.2">
      <c r="A50" t="s">
        <v>1384</v>
      </c>
      <c r="D50" s="10"/>
    </row>
    <row r="51" spans="1:4" x14ac:dyDescent="0.2">
      <c r="B51" t="s">
        <v>1385</v>
      </c>
      <c r="C51">
        <v>42</v>
      </c>
      <c r="D51" s="10" t="str">
        <f>"0x"&amp;DEC2HEX(HEX2DEC(D$1)+SUM($C$2:C51))</f>
        <v>0x42028E06</v>
      </c>
    </row>
    <row r="52" spans="1:4" x14ac:dyDescent="0.2">
      <c r="B52" t="s">
        <v>1386</v>
      </c>
      <c r="C52">
        <v>200</v>
      </c>
      <c r="D52" s="10" t="str">
        <f>"0x"&amp;DEC2HEX(HEX2DEC(D$1)+SUM($C$2:C52))</f>
        <v>0x42028ECE</v>
      </c>
    </row>
    <row r="53" spans="1:4" x14ac:dyDescent="0.2">
      <c r="B53" t="s">
        <v>1387</v>
      </c>
      <c r="C53">
        <v>24</v>
      </c>
      <c r="D53" s="10" t="str">
        <f>"0x"&amp;DEC2HEX(HEX2DEC(D$1)+SUM($C$2:C53))</f>
        <v>0x42028EE6</v>
      </c>
    </row>
    <row r="54" spans="1:4" x14ac:dyDescent="0.2">
      <c r="B54" t="s">
        <v>1388</v>
      </c>
      <c r="C54">
        <v>24</v>
      </c>
      <c r="D54" s="10" t="str">
        <f>"0x"&amp;DEC2HEX(HEX2DEC(D$1)+SUM($C$2:C54))</f>
        <v>0x42028EFE</v>
      </c>
    </row>
    <row r="55" spans="1:4" x14ac:dyDescent="0.2">
      <c r="B55" t="s">
        <v>1389</v>
      </c>
      <c r="C55">
        <v>232</v>
      </c>
      <c r="D55" s="10" t="str">
        <f>"0x"&amp;DEC2HEX(HEX2DEC(D$1)+SUM($C$2:C55))</f>
        <v>0x42028FE6</v>
      </c>
    </row>
    <row r="56" spans="1:4" x14ac:dyDescent="0.2">
      <c r="B56" t="s">
        <v>1390</v>
      </c>
      <c r="C56">
        <v>28</v>
      </c>
      <c r="D56" s="10" t="str">
        <f>"0x"&amp;DEC2HEX(HEX2DEC(D$1)+SUM($C$2:C56))</f>
        <v>0x42029002</v>
      </c>
    </row>
    <row r="57" spans="1:4" x14ac:dyDescent="0.2">
      <c r="B57" t="s">
        <v>1391</v>
      </c>
      <c r="C57">
        <v>24</v>
      </c>
      <c r="D57" s="10" t="str">
        <f>"0x"&amp;DEC2HEX(HEX2DEC(D$1)+SUM($C$2:C57))</f>
        <v>0x4202901A</v>
      </c>
    </row>
    <row r="58" spans="1:4" x14ac:dyDescent="0.2">
      <c r="B58" t="s">
        <v>1392</v>
      </c>
      <c r="C58">
        <v>34</v>
      </c>
      <c r="D58" s="10" t="str">
        <f>"0x"&amp;DEC2HEX(HEX2DEC(D$1)+SUM($C$2:C58))</f>
        <v>0x4202903C</v>
      </c>
    </row>
    <row r="59" spans="1:4" x14ac:dyDescent="0.2">
      <c r="B59" t="s">
        <v>1393</v>
      </c>
      <c r="C59">
        <v>72</v>
      </c>
      <c r="D59" s="10" t="str">
        <f>"0x"&amp;DEC2HEX(HEX2DEC(D$1)+SUM($C$2:C59))</f>
        <v>0x42029084</v>
      </c>
    </row>
    <row r="60" spans="1:4" x14ac:dyDescent="0.2">
      <c r="B60" t="s">
        <v>1394</v>
      </c>
      <c r="C60">
        <v>224</v>
      </c>
      <c r="D60" s="10" t="str">
        <f>"0x"&amp;DEC2HEX(HEX2DEC(D$1)+SUM($C$2:C60))</f>
        <v>0x42029164</v>
      </c>
    </row>
    <row r="61" spans="1:4" x14ac:dyDescent="0.2">
      <c r="B61" t="s">
        <v>1395</v>
      </c>
      <c r="C61">
        <v>24</v>
      </c>
      <c r="D61" s="10" t="str">
        <f>"0x"&amp;DEC2HEX(HEX2DEC(D$1)+SUM($C$2:C61))</f>
        <v>0x4202917C</v>
      </c>
    </row>
    <row r="62" spans="1:4" x14ac:dyDescent="0.2">
      <c r="B62" t="s">
        <v>1396</v>
      </c>
      <c r="C62">
        <v>138</v>
      </c>
      <c r="D62" s="10" t="str">
        <f>"0x"&amp;DEC2HEX(HEX2DEC(D$1)+SUM($C$2:C62))</f>
        <v>0x42029206</v>
      </c>
    </row>
    <row r="63" spans="1:4" x14ac:dyDescent="0.2">
      <c r="B63" t="s">
        <v>1397</v>
      </c>
      <c r="C63">
        <v>142</v>
      </c>
      <c r="D63" s="10" t="str">
        <f>"0x"&amp;DEC2HEX(HEX2DEC(D$1)+SUM($C$2:C63))</f>
        <v>0x42029294</v>
      </c>
    </row>
    <row r="64" spans="1:4" x14ac:dyDescent="0.2">
      <c r="B64" t="s">
        <v>1398</v>
      </c>
      <c r="C64">
        <v>128</v>
      </c>
      <c r="D64" s="10" t="str">
        <f>"0x"&amp;DEC2HEX(HEX2DEC(D$1)+SUM($C$2:C64))</f>
        <v>0x42029314</v>
      </c>
    </row>
    <row r="65" spans="1:4" x14ac:dyDescent="0.2">
      <c r="B65" t="s">
        <v>1399</v>
      </c>
      <c r="C65">
        <v>8</v>
      </c>
      <c r="D65" s="10" t="str">
        <f>"0x"&amp;DEC2HEX(HEX2DEC(D$1)+SUM($C$2:C65))</f>
        <v>0x4202931C</v>
      </c>
    </row>
    <row r="66" spans="1:4" x14ac:dyDescent="0.2">
      <c r="B66" t="s">
        <v>1400</v>
      </c>
      <c r="C66">
        <v>72</v>
      </c>
      <c r="D66" s="10" t="str">
        <f>"0x"&amp;DEC2HEX(HEX2DEC(D$1)+SUM($C$2:C66))</f>
        <v>0x42029364</v>
      </c>
    </row>
    <row r="67" spans="1:4" x14ac:dyDescent="0.2">
      <c r="B67" t="s">
        <v>1401</v>
      </c>
      <c r="C67">
        <v>234</v>
      </c>
      <c r="D67" s="10" t="str">
        <f>"0x"&amp;DEC2HEX(HEX2DEC(D$1)+SUM($C$2:C67))</f>
        <v>0x4202944E</v>
      </c>
    </row>
    <row r="68" spans="1:4" x14ac:dyDescent="0.2">
      <c r="B68" t="s">
        <v>1402</v>
      </c>
      <c r="C68">
        <v>246</v>
      </c>
      <c r="D68" s="10" t="str">
        <f>"0x"&amp;DEC2HEX(HEX2DEC(D$1)+SUM($C$2:C68))</f>
        <v>0x42029544</v>
      </c>
    </row>
    <row r="69" spans="1:4" x14ac:dyDescent="0.2">
      <c r="B69" t="s">
        <v>1403</v>
      </c>
      <c r="C69">
        <v>346</v>
      </c>
      <c r="D69" s="10" t="str">
        <f>"0x"&amp;DEC2HEX(HEX2DEC(D$1)+SUM($C$2:C69))</f>
        <v>0x4202969E</v>
      </c>
    </row>
    <row r="70" spans="1:4" x14ac:dyDescent="0.2">
      <c r="B70" t="s">
        <v>1404</v>
      </c>
      <c r="C70">
        <v>74</v>
      </c>
      <c r="D70" s="10" t="str">
        <f>"0x"&amp;DEC2HEX(HEX2DEC(D$1)+SUM($C$2:C70))</f>
        <v>0x420296E8</v>
      </c>
    </row>
    <row r="71" spans="1:4" x14ac:dyDescent="0.2">
      <c r="A71" t="s">
        <v>1405</v>
      </c>
      <c r="D71" s="10"/>
    </row>
    <row r="72" spans="1:4" x14ac:dyDescent="0.2">
      <c r="B72" t="s">
        <v>1406</v>
      </c>
      <c r="C72">
        <v>2</v>
      </c>
      <c r="D72" s="10" t="str">
        <f>"0x"&amp;DEC2HEX(HEX2DEC(D$1)+SUM($C$2:C72))</f>
        <v>0x420296EA</v>
      </c>
    </row>
    <row r="73" spans="1:4" x14ac:dyDescent="0.2">
      <c r="B73" t="s">
        <v>1407</v>
      </c>
      <c r="C73">
        <v>180</v>
      </c>
      <c r="D73" s="10" t="str">
        <f>"0x"&amp;DEC2HEX(HEX2DEC(D$1)+SUM($C$2:C73))</f>
        <v>0x4202979E</v>
      </c>
    </row>
    <row r="74" spans="1:4" x14ac:dyDescent="0.2">
      <c r="B74" t="s">
        <v>1408</v>
      </c>
      <c r="C74">
        <v>300</v>
      </c>
      <c r="D74" s="10" t="str">
        <f>"0x"&amp;DEC2HEX(HEX2DEC(D$1)+SUM($C$2:C74))</f>
        <v>0x420298CA</v>
      </c>
    </row>
    <row r="75" spans="1:4" x14ac:dyDescent="0.2">
      <c r="B75" t="s">
        <v>1409</v>
      </c>
      <c r="C75">
        <v>392</v>
      </c>
      <c r="D75" s="10" t="str">
        <f>"0x"&amp;DEC2HEX(HEX2DEC(D$1)+SUM($C$2:C75))</f>
        <v>0x42029A52</v>
      </c>
    </row>
    <row r="76" spans="1:4" x14ac:dyDescent="0.2">
      <c r="B76" t="s">
        <v>1410</v>
      </c>
      <c r="C76">
        <v>480</v>
      </c>
      <c r="D76" s="10" t="str">
        <f>"0x"&amp;DEC2HEX(HEX2DEC(D$1)+SUM($C$2:C76))</f>
        <v>0x42029C32</v>
      </c>
    </row>
    <row r="77" spans="1:4" x14ac:dyDescent="0.2">
      <c r="B77" t="s">
        <v>1411</v>
      </c>
      <c r="C77">
        <v>42</v>
      </c>
      <c r="D77" s="10" t="str">
        <f>"0x"&amp;DEC2HEX(HEX2DEC(D$1)+SUM($C$2:C77))</f>
        <v>0x42029C5C</v>
      </c>
    </row>
    <row r="78" spans="1:4" x14ac:dyDescent="0.2">
      <c r="A78" t="s">
        <v>1412</v>
      </c>
      <c r="D78" s="10"/>
    </row>
    <row r="79" spans="1:4" x14ac:dyDescent="0.2">
      <c r="B79" t="s">
        <v>1413</v>
      </c>
      <c r="C79">
        <v>116</v>
      </c>
      <c r="D79" s="10" t="str">
        <f>"0x"&amp;DEC2HEX(HEX2DEC(D$1)+SUM($C$2:C79))</f>
        <v>0x42029CD0</v>
      </c>
    </row>
    <row r="80" spans="1:4" x14ac:dyDescent="0.2">
      <c r="B80" t="s">
        <v>1414</v>
      </c>
      <c r="C80">
        <v>192</v>
      </c>
      <c r="D80" s="10" t="str">
        <f>"0x"&amp;DEC2HEX(HEX2DEC(D$1)+SUM($C$2:C80))</f>
        <v>0x42029D90</v>
      </c>
    </row>
    <row r="81" spans="1:4" x14ac:dyDescent="0.2">
      <c r="B81" t="s">
        <v>1415</v>
      </c>
      <c r="C81">
        <v>70</v>
      </c>
      <c r="D81" s="10" t="str">
        <f>"0x"&amp;DEC2HEX(HEX2DEC(D$1)+SUM($C$2:C81))</f>
        <v>0x42029DD6</v>
      </c>
    </row>
    <row r="82" spans="1:4" x14ac:dyDescent="0.2">
      <c r="B82" t="s">
        <v>1416</v>
      </c>
      <c r="C82">
        <v>406</v>
      </c>
      <c r="D82" s="10" t="str">
        <f>"0x"&amp;DEC2HEX(HEX2DEC(D$1)+SUM($C$2:C82))</f>
        <v>0x42029F6C</v>
      </c>
    </row>
    <row r="83" spans="1:4" x14ac:dyDescent="0.2">
      <c r="A83" t="s">
        <v>1417</v>
      </c>
      <c r="D83" s="10"/>
    </row>
    <row r="84" spans="1:4" x14ac:dyDescent="0.2">
      <c r="B84" t="s">
        <v>1418</v>
      </c>
      <c r="C84">
        <v>116</v>
      </c>
      <c r="D84" s="10" t="str">
        <f>"0x"&amp;DEC2HEX(HEX2DEC(D$1)+SUM($C$2:C84))</f>
        <v>0x42029FE0</v>
      </c>
    </row>
    <row r="85" spans="1:4" x14ac:dyDescent="0.2">
      <c r="B85" t="s">
        <v>1419</v>
      </c>
      <c r="C85">
        <v>192</v>
      </c>
      <c r="D85" s="10" t="str">
        <f>"0x"&amp;DEC2HEX(HEX2DEC(D$1)+SUM($C$2:C85))</f>
        <v>0x4202A0A0</v>
      </c>
    </row>
    <row r="86" spans="1:4" x14ac:dyDescent="0.2">
      <c r="A86" t="s">
        <v>1420</v>
      </c>
      <c r="D86" s="10"/>
    </row>
    <row r="87" spans="1:4" x14ac:dyDescent="0.2">
      <c r="B87" t="s">
        <v>1421</v>
      </c>
      <c r="C87">
        <v>174</v>
      </c>
      <c r="D87" s="10" t="str">
        <f>"0x"&amp;DEC2HEX(HEX2DEC(D$1)+SUM($C$2:C87))</f>
        <v>0x4202A14E</v>
      </c>
    </row>
    <row r="88" spans="1:4" x14ac:dyDescent="0.2">
      <c r="B88" t="s">
        <v>1422</v>
      </c>
      <c r="C88">
        <v>182</v>
      </c>
      <c r="D88" s="10" t="str">
        <f>"0x"&amp;DEC2HEX(HEX2DEC(D$1)+SUM($C$2:C88))</f>
        <v>0x4202A204</v>
      </c>
    </row>
    <row r="89" spans="1:4" x14ac:dyDescent="0.2">
      <c r="A89" t="s">
        <v>1423</v>
      </c>
      <c r="D89" s="10"/>
    </row>
    <row r="90" spans="1:4" x14ac:dyDescent="0.2">
      <c r="B90" t="s">
        <v>1424</v>
      </c>
      <c r="C90">
        <v>208</v>
      </c>
      <c r="D90" s="10" t="str">
        <f>"0x"&amp;DEC2HEX(HEX2DEC(D$1)+SUM($C$2:C90))</f>
        <v>0x4202A2D4</v>
      </c>
    </row>
    <row r="91" spans="1:4" x14ac:dyDescent="0.2">
      <c r="B91" t="s">
        <v>1425</v>
      </c>
      <c r="C91">
        <v>146</v>
      </c>
      <c r="D91" s="10" t="str">
        <f>"0x"&amp;DEC2HEX(HEX2DEC(D$1)+SUM($C$2:C91))</f>
        <v>0x4202A366</v>
      </c>
    </row>
    <row r="92" spans="1:4" x14ac:dyDescent="0.2">
      <c r="A92" t="s">
        <v>1426</v>
      </c>
      <c r="D92" s="10"/>
    </row>
    <row r="93" spans="1:4" x14ac:dyDescent="0.2">
      <c r="B93" t="s">
        <v>1427</v>
      </c>
      <c r="C93">
        <v>90</v>
      </c>
      <c r="D93" s="10" t="str">
        <f>"0x"&amp;DEC2HEX(HEX2DEC(D$1)+SUM($C$2:C93))</f>
        <v>0x4202A3C0</v>
      </c>
    </row>
    <row r="94" spans="1:4" x14ac:dyDescent="0.2">
      <c r="B94" t="s">
        <v>1428</v>
      </c>
      <c r="C94">
        <v>40</v>
      </c>
      <c r="D94" s="10" t="str">
        <f>"0x"&amp;DEC2HEX(HEX2DEC(D$1)+SUM($C$2:C94))</f>
        <v>0x4202A3E8</v>
      </c>
    </row>
    <row r="95" spans="1:4" x14ac:dyDescent="0.2">
      <c r="A95" t="s">
        <v>1429</v>
      </c>
      <c r="D95" s="10" t="str">
        <f>"0x"&amp;DEC2HEX(HEX2DEC(D$1)+SUM($C$2:C95))</f>
        <v>0x4202A3E8</v>
      </c>
    </row>
    <row r="96" spans="1:4" x14ac:dyDescent="0.2">
      <c r="B96" t="s">
        <v>1430</v>
      </c>
      <c r="C96">
        <v>204</v>
      </c>
      <c r="D96" s="10" t="str">
        <f>"0x"&amp;DEC2HEX(HEX2DEC(D$1)+SUM($C$2:C96))</f>
        <v>0x4202A4B4</v>
      </c>
    </row>
    <row r="97" spans="1:4" x14ac:dyDescent="0.2">
      <c r="A97" t="s">
        <v>1431</v>
      </c>
      <c r="D97" s="10" t="str">
        <f>"0x"&amp;DEC2HEX(HEX2DEC(D$1)+SUM($C$2:C97))</f>
        <v>0x4202A4B4</v>
      </c>
    </row>
    <row r="98" spans="1:4" x14ac:dyDescent="0.2">
      <c r="B98" t="s">
        <v>1432</v>
      </c>
      <c r="C98">
        <v>92</v>
      </c>
      <c r="D98" s="10" t="str">
        <f>"0x"&amp;DEC2HEX(HEX2DEC(D$1)+SUM($C$2:C98))</f>
        <v>0x4202A510</v>
      </c>
    </row>
    <row r="99" spans="1:4" x14ac:dyDescent="0.2">
      <c r="B99" t="s">
        <v>1433</v>
      </c>
      <c r="C99">
        <v>156</v>
      </c>
      <c r="D99" s="10" t="str">
        <f>"0x"&amp;DEC2HEX(HEX2DEC(D$1)+SUM($C$2:C99))</f>
        <v>0x4202A5AC</v>
      </c>
    </row>
    <row r="100" spans="1:4" x14ac:dyDescent="0.2">
      <c r="A100" t="s">
        <v>1434</v>
      </c>
      <c r="D100" s="10"/>
    </row>
    <row r="101" spans="1:4" x14ac:dyDescent="0.2">
      <c r="B101" t="s">
        <v>1435</v>
      </c>
      <c r="C101">
        <v>98</v>
      </c>
      <c r="D101" s="10" t="str">
        <f>"0x"&amp;DEC2HEX(HEX2DEC(D$1)+SUM($C$2:C101))</f>
        <v>0x4202A60E</v>
      </c>
    </row>
    <row r="102" spans="1:4" x14ac:dyDescent="0.2">
      <c r="B102" t="s">
        <v>1436</v>
      </c>
      <c r="C102">
        <v>2</v>
      </c>
      <c r="D102" s="10" t="str">
        <f>"0x"&amp;DEC2HEX(HEX2DEC(D$1)+SUM($C$2:C102))</f>
        <v>0x4202A610</v>
      </c>
    </row>
    <row r="103" spans="1:4" x14ac:dyDescent="0.2">
      <c r="B103" t="s">
        <v>1437</v>
      </c>
      <c r="C103">
        <v>10</v>
      </c>
      <c r="D103" s="10" t="str">
        <f>"0x"&amp;DEC2HEX(HEX2DEC(D$1)+SUM($C$2:C103))</f>
        <v>0x4202A61A</v>
      </c>
    </row>
    <row r="104" spans="1:4" x14ac:dyDescent="0.2">
      <c r="B104" t="s">
        <v>1438</v>
      </c>
      <c r="C104">
        <v>10</v>
      </c>
      <c r="D104" s="10" t="str">
        <f>"0x"&amp;DEC2HEX(HEX2DEC(D$1)+SUM($C$2:C104))</f>
        <v>0x4202A624</v>
      </c>
    </row>
    <row r="105" spans="1:4" x14ac:dyDescent="0.2">
      <c r="B105" t="s">
        <v>1439</v>
      </c>
      <c r="C105">
        <v>10</v>
      </c>
      <c r="D105" s="10" t="str">
        <f>"0x"&amp;DEC2HEX(HEX2DEC(D$1)+SUM($C$2:C105))</f>
        <v>0x4202A62E</v>
      </c>
    </row>
    <row r="106" spans="1:4" x14ac:dyDescent="0.2">
      <c r="B106" t="s">
        <v>1440</v>
      </c>
      <c r="C106">
        <v>10</v>
      </c>
      <c r="D106" s="10" t="str">
        <f>"0x"&amp;DEC2HEX(HEX2DEC(D$1)+SUM($C$2:C106))</f>
        <v>0x4202A638</v>
      </c>
    </row>
    <row r="107" spans="1:4" x14ac:dyDescent="0.2">
      <c r="B107" t="s">
        <v>1441</v>
      </c>
      <c r="C107">
        <v>182</v>
      </c>
      <c r="D107" s="10" t="str">
        <f>"0x"&amp;DEC2HEX(HEX2DEC(D$1)+SUM($C$2:C107))</f>
        <v>0x4202A6EE</v>
      </c>
    </row>
    <row r="108" spans="1:4" x14ac:dyDescent="0.2">
      <c r="B108" t="s">
        <v>1442</v>
      </c>
      <c r="C108">
        <v>98</v>
      </c>
      <c r="D108" s="10" t="str">
        <f>"0x"&amp;DEC2HEX(HEX2DEC(D$1)+SUM($C$2:C108))</f>
        <v>0x4202A750</v>
      </c>
    </row>
    <row r="109" spans="1:4" x14ac:dyDescent="0.2">
      <c r="B109" t="s">
        <v>1443</v>
      </c>
      <c r="C109">
        <v>642</v>
      </c>
      <c r="D109" s="10" t="str">
        <f>"0x"&amp;DEC2HEX(HEX2DEC(D$1)+SUM($C$2:C109))</f>
        <v>0x4202A9D2</v>
      </c>
    </row>
    <row r="110" spans="1:4" x14ac:dyDescent="0.2">
      <c r="B110" t="s">
        <v>1444</v>
      </c>
      <c r="C110">
        <v>32</v>
      </c>
      <c r="D110" s="10" t="str">
        <f>"0x"&amp;DEC2HEX(HEX2DEC(D$1)+SUM($C$2:C110))</f>
        <v>0x4202A9F2</v>
      </c>
    </row>
    <row r="111" spans="1:4" x14ac:dyDescent="0.2">
      <c r="B111" t="s">
        <v>1445</v>
      </c>
      <c r="C111">
        <v>70</v>
      </c>
      <c r="D111" s="10" t="str">
        <f>"0x"&amp;DEC2HEX(HEX2DEC(D$1)+SUM($C$2:C111))</f>
        <v>0x4202AA38</v>
      </c>
    </row>
    <row r="112" spans="1:4" x14ac:dyDescent="0.2">
      <c r="B112" t="s">
        <v>1446</v>
      </c>
      <c r="C112">
        <v>34</v>
      </c>
      <c r="D112" s="10" t="str">
        <f>"0x"&amp;DEC2HEX(HEX2DEC(D$1)+SUM($C$2:C112))</f>
        <v>0x4202AA5A</v>
      </c>
    </row>
    <row r="113" spans="2:4" x14ac:dyDescent="0.2">
      <c r="B113" t="s">
        <v>1447</v>
      </c>
      <c r="C113">
        <v>118</v>
      </c>
      <c r="D113" s="10" t="str">
        <f>"0x"&amp;DEC2HEX(HEX2DEC(D$1)+SUM($C$2:C113))</f>
        <v>0x4202AAD0</v>
      </c>
    </row>
    <row r="114" spans="2:4" x14ac:dyDescent="0.2">
      <c r="B114" t="s">
        <v>1448</v>
      </c>
      <c r="C114">
        <v>156</v>
      </c>
      <c r="D114" s="10" t="str">
        <f>"0x"&amp;DEC2HEX(HEX2DEC(D$1)+SUM($C$2:C114))</f>
        <v>0x4202AB6C</v>
      </c>
    </row>
    <row r="115" spans="2:4" x14ac:dyDescent="0.2">
      <c r="B115" t="s">
        <v>1449</v>
      </c>
      <c r="C115">
        <v>230</v>
      </c>
      <c r="D115" s="10" t="str">
        <f>"0x"&amp;DEC2HEX(HEX2DEC(D$1)+SUM($C$2:C115))</f>
        <v>0x4202AC52</v>
      </c>
    </row>
    <row r="116" spans="2:4" x14ac:dyDescent="0.2">
      <c r="B116" t="s">
        <v>1450</v>
      </c>
      <c r="C116">
        <v>202</v>
      </c>
      <c r="D116" s="10" t="str">
        <f>"0x"&amp;DEC2HEX(HEX2DEC(D$1)+SUM($C$2:C116))</f>
        <v>0x4202AD1C</v>
      </c>
    </row>
    <row r="117" spans="2:4" x14ac:dyDescent="0.2">
      <c r="B117" t="s">
        <v>1451</v>
      </c>
      <c r="C117">
        <v>130</v>
      </c>
      <c r="D117" s="10" t="str">
        <f>"0x"&amp;DEC2HEX(HEX2DEC(D$1)+SUM($C$2:C117))</f>
        <v>0x4202AD9E</v>
      </c>
    </row>
    <row r="118" spans="2:4" x14ac:dyDescent="0.2">
      <c r="B118" t="s">
        <v>1452</v>
      </c>
      <c r="C118">
        <v>72</v>
      </c>
      <c r="D118" s="10" t="str">
        <f>"0x"&amp;DEC2HEX(HEX2DEC(D$1)+SUM($C$2:C118))</f>
        <v>0x4202ADE6</v>
      </c>
    </row>
    <row r="119" spans="2:4" x14ac:dyDescent="0.2">
      <c r="B119" t="s">
        <v>1453</v>
      </c>
      <c r="C119">
        <v>154</v>
      </c>
      <c r="D119" s="10" t="str">
        <f>"0x"&amp;DEC2HEX(HEX2DEC(D$1)+SUM($C$2:C119))</f>
        <v>0x4202AE80</v>
      </c>
    </row>
    <row r="120" spans="2:4" x14ac:dyDescent="0.2">
      <c r="B120" t="s">
        <v>1454</v>
      </c>
      <c r="C120">
        <v>1046</v>
      </c>
      <c r="D120" s="10" t="str">
        <f>"0x"&amp;DEC2HEX(HEX2DEC(D$1)+SUM($C$2:C120))</f>
        <v>0x4202B296</v>
      </c>
    </row>
    <row r="121" spans="2:4" x14ac:dyDescent="0.2">
      <c r="B121" t="s">
        <v>1455</v>
      </c>
      <c r="C121">
        <v>22</v>
      </c>
      <c r="D121" s="10" t="str">
        <f>"0x"&amp;DEC2HEX(HEX2DEC(D$1)+SUM($C$2:C121))</f>
        <v>0x4202B2AC</v>
      </c>
    </row>
    <row r="122" spans="2:4" x14ac:dyDescent="0.2">
      <c r="B122" t="s">
        <v>1456</v>
      </c>
      <c r="C122">
        <v>166</v>
      </c>
      <c r="D122" s="10" t="str">
        <f>"0x"&amp;DEC2HEX(HEX2DEC(D$1)+SUM($C$2:C122))</f>
        <v>0x4202B352</v>
      </c>
    </row>
    <row r="123" spans="2:4" x14ac:dyDescent="0.2">
      <c r="B123" t="s">
        <v>1457</v>
      </c>
      <c r="C123">
        <v>434</v>
      </c>
      <c r="D123" s="10" t="str">
        <f>"0x"&amp;DEC2HEX(HEX2DEC(D$1)+SUM($C$2:C123))</f>
        <v>0x4202B504</v>
      </c>
    </row>
    <row r="124" spans="2:4" x14ac:dyDescent="0.2">
      <c r="B124" t="s">
        <v>1458</v>
      </c>
      <c r="C124">
        <v>162</v>
      </c>
      <c r="D124" s="10" t="str">
        <f>"0x"&amp;DEC2HEX(HEX2DEC(D$1)+SUM($C$2:C124))</f>
        <v>0x4202B5A6</v>
      </c>
    </row>
    <row r="125" spans="2:4" x14ac:dyDescent="0.2">
      <c r="B125" t="s">
        <v>1459</v>
      </c>
      <c r="C125">
        <v>304</v>
      </c>
      <c r="D125" s="10" t="str">
        <f>"0x"&amp;DEC2HEX(HEX2DEC(D$1)+SUM($C$2:C125))</f>
        <v>0x4202B6D6</v>
      </c>
    </row>
    <row r="126" spans="2:4" x14ac:dyDescent="0.2">
      <c r="B126" t="s">
        <v>1460</v>
      </c>
      <c r="C126">
        <v>402</v>
      </c>
      <c r="D126" s="10" t="str">
        <f>"0x"&amp;DEC2HEX(HEX2DEC(D$1)+SUM($C$2:C126))</f>
        <v>0x4202B868</v>
      </c>
    </row>
    <row r="127" spans="2:4" x14ac:dyDescent="0.2">
      <c r="B127" t="s">
        <v>1461</v>
      </c>
      <c r="C127">
        <v>14</v>
      </c>
      <c r="D127" s="10" t="str">
        <f>"0x"&amp;DEC2HEX(HEX2DEC(D$1)+SUM($C$2:C127))</f>
        <v>0x4202B876</v>
      </c>
    </row>
    <row r="128" spans="2:4" x14ac:dyDescent="0.2">
      <c r="B128" t="s">
        <v>1462</v>
      </c>
      <c r="C128">
        <v>138</v>
      </c>
      <c r="D128" s="10" t="str">
        <f>"0x"&amp;DEC2HEX(HEX2DEC(D$1)+SUM($C$2:C128))</f>
        <v>0x4202B900</v>
      </c>
    </row>
    <row r="129" spans="1:4" x14ac:dyDescent="0.2">
      <c r="B129" t="s">
        <v>1463</v>
      </c>
      <c r="C129">
        <v>750</v>
      </c>
      <c r="D129" s="10" t="str">
        <f>"0x"&amp;DEC2HEX(HEX2DEC(D$1)+SUM($C$2:C129))</f>
        <v>0x4202BBEE</v>
      </c>
    </row>
    <row r="130" spans="1:4" x14ac:dyDescent="0.2">
      <c r="B130" t="s">
        <v>1464</v>
      </c>
      <c r="C130">
        <v>118</v>
      </c>
      <c r="D130" s="10" t="str">
        <f>"0x"&amp;DEC2HEX(HEX2DEC(D$1)+SUM($C$2:C130))</f>
        <v>0x4202BC64</v>
      </c>
    </row>
    <row r="131" spans="1:4" x14ac:dyDescent="0.2">
      <c r="B131" t="s">
        <v>1465</v>
      </c>
      <c r="C131">
        <v>186</v>
      </c>
      <c r="D131" s="10" t="str">
        <f>"0x"&amp;DEC2HEX(HEX2DEC(D$1)+SUM($C$2:C131))</f>
        <v>0x4202BD1E</v>
      </c>
    </row>
    <row r="132" spans="1:4" x14ac:dyDescent="0.2">
      <c r="B132" t="s">
        <v>1466</v>
      </c>
      <c r="C132">
        <v>52</v>
      </c>
      <c r="D132" s="10" t="str">
        <f>"0x"&amp;DEC2HEX(HEX2DEC(D$1)+SUM($C$2:C132))</f>
        <v>0x4202BD52</v>
      </c>
    </row>
    <row r="133" spans="1:4" x14ac:dyDescent="0.2">
      <c r="B133" t="s">
        <v>1467</v>
      </c>
      <c r="C133">
        <v>206</v>
      </c>
      <c r="D133" s="10" t="str">
        <f>"0x"&amp;DEC2HEX(HEX2DEC(D$1)+SUM($C$2:C133))</f>
        <v>0x4202BE20</v>
      </c>
    </row>
    <row r="134" spans="1:4" x14ac:dyDescent="0.2">
      <c r="B134" t="s">
        <v>1468</v>
      </c>
      <c r="C134">
        <v>734</v>
      </c>
      <c r="D134" s="10" t="str">
        <f>"0x"&amp;DEC2HEX(HEX2DEC(D$1)+SUM($C$2:C134))</f>
        <v>0x4202C0FE</v>
      </c>
    </row>
    <row r="135" spans="1:4" x14ac:dyDescent="0.2">
      <c r="B135" t="s">
        <v>1469</v>
      </c>
      <c r="C135">
        <v>654</v>
      </c>
      <c r="D135" s="10" t="str">
        <f>"0x"&amp;DEC2HEX(HEX2DEC(D$1)+SUM($C$2:C135))</f>
        <v>0x4202C38C</v>
      </c>
    </row>
    <row r="136" spans="1:4" x14ac:dyDescent="0.2">
      <c r="B136" t="s">
        <v>1470</v>
      </c>
      <c r="C136">
        <v>148</v>
      </c>
      <c r="D136" s="10" t="str">
        <f>"0x"&amp;DEC2HEX(HEX2DEC(D$1)+SUM($C$2:C136))</f>
        <v>0x4202C420</v>
      </c>
    </row>
    <row r="137" spans="1:4" x14ac:dyDescent="0.2">
      <c r="B137" t="s">
        <v>1471</v>
      </c>
      <c r="C137">
        <v>74</v>
      </c>
      <c r="D137" s="10" t="str">
        <f>"0x"&amp;DEC2HEX(HEX2DEC(D$1)+SUM($C$2:C137))</f>
        <v>0x4202C46A</v>
      </c>
    </row>
    <row r="138" spans="1:4" x14ac:dyDescent="0.2">
      <c r="B138" t="s">
        <v>1472</v>
      </c>
      <c r="C138">
        <v>216</v>
      </c>
      <c r="D138" s="10" t="str">
        <f>"0x"&amp;DEC2HEX(HEX2DEC(D$1)+SUM($C$2:C138))</f>
        <v>0x4202C542</v>
      </c>
    </row>
    <row r="139" spans="1:4" x14ac:dyDescent="0.2">
      <c r="B139" t="s">
        <v>1473</v>
      </c>
      <c r="C139">
        <v>90</v>
      </c>
      <c r="D139" s="10" t="str">
        <f>"0x"&amp;DEC2HEX(HEX2DEC(D$1)+SUM($C$2:C139))</f>
        <v>0x4202C59C</v>
      </c>
    </row>
    <row r="140" spans="1:4" x14ac:dyDescent="0.2">
      <c r="B140" t="s">
        <v>1474</v>
      </c>
      <c r="C140">
        <v>172</v>
      </c>
      <c r="D140" s="10" t="str">
        <f>"0x"&amp;DEC2HEX(HEX2DEC(D$1)+SUM($C$2:C140))</f>
        <v>0x4202C648</v>
      </c>
    </row>
    <row r="141" spans="1:4" x14ac:dyDescent="0.2">
      <c r="B141" t="s">
        <v>1475</v>
      </c>
      <c r="C141">
        <v>148</v>
      </c>
      <c r="D141" s="10" t="str">
        <f>"0x"&amp;DEC2HEX(HEX2DEC(D$1)+SUM($C$2:C141))</f>
        <v>0x4202C6DC</v>
      </c>
    </row>
    <row r="142" spans="1:4" x14ac:dyDescent="0.2">
      <c r="B142" t="s">
        <v>1476</v>
      </c>
      <c r="C142">
        <v>4</v>
      </c>
      <c r="D142" s="10" t="str">
        <f>"0x"&amp;DEC2HEX(HEX2DEC(D$1)+SUM($C$2:C142))</f>
        <v>0x4202C6E0</v>
      </c>
    </row>
    <row r="143" spans="1:4" x14ac:dyDescent="0.2">
      <c r="A143" t="s">
        <v>1477</v>
      </c>
      <c r="D143" s="10"/>
    </row>
    <row r="144" spans="1:4" x14ac:dyDescent="0.2">
      <c r="A144" t="s">
        <v>10</v>
      </c>
      <c r="D144" s="10"/>
    </row>
    <row r="145" spans="2:6" x14ac:dyDescent="0.2">
      <c r="B145" t="s">
        <v>1478</v>
      </c>
      <c r="C145">
        <v>50</v>
      </c>
      <c r="D145" s="10" t="str">
        <f>"0x"&amp;DEC2HEX(HEX2DEC(D$1)+SUM($C$2:C145))</f>
        <v>0x4202C712</v>
      </c>
    </row>
    <row r="146" spans="2:6" x14ac:dyDescent="0.2">
      <c r="B146" t="s">
        <v>1479</v>
      </c>
      <c r="C146">
        <v>58</v>
      </c>
      <c r="D146" s="10" t="str">
        <f>"0x"&amp;DEC2HEX(HEX2DEC(D$1)+SUM($C$2:C146))</f>
        <v>0x4202C74C</v>
      </c>
    </row>
    <row r="147" spans="2:6" x14ac:dyDescent="0.2">
      <c r="B147" t="s">
        <v>1480</v>
      </c>
      <c r="C147">
        <v>60</v>
      </c>
      <c r="D147" s="10" t="str">
        <f>"0x"&amp;DEC2HEX(HEX2DEC(D$1)+SUM($C$2:C147))</f>
        <v>0x4202C788</v>
      </c>
    </row>
    <row r="148" spans="2:6" x14ac:dyDescent="0.2">
      <c r="B148" t="s">
        <v>1480</v>
      </c>
      <c r="C148">
        <v>60</v>
      </c>
      <c r="D148" s="10" t="str">
        <f>"0x"&amp;DEC2HEX(HEX2DEC(D$1)+SUM($C$2:C148))</f>
        <v>0x4202C7C4</v>
      </c>
      <c r="F148" t="s">
        <v>1785</v>
      </c>
    </row>
    <row r="149" spans="2:6" x14ac:dyDescent="0.2">
      <c r="B149" t="s">
        <v>1481</v>
      </c>
      <c r="C149">
        <v>228</v>
      </c>
      <c r="D149" s="10" t="str">
        <f>"0x"&amp;DEC2HEX(HEX2DEC(D$1)+SUM($C$2:C149))</f>
        <v>0x4202C8A8</v>
      </c>
    </row>
    <row r="150" spans="2:6" x14ac:dyDescent="0.2">
      <c r="B150" t="s">
        <v>1482</v>
      </c>
      <c r="C150">
        <v>10</v>
      </c>
      <c r="D150" s="10" t="str">
        <f>"0x"&amp;DEC2HEX(HEX2DEC(D$1)+SUM($C$2:C150))</f>
        <v>0x4202C8B2</v>
      </c>
    </row>
    <row r="151" spans="2:6" x14ac:dyDescent="0.2">
      <c r="B151" t="s">
        <v>1483</v>
      </c>
      <c r="C151">
        <v>10</v>
      </c>
      <c r="D151" s="10" t="str">
        <f>"0x"&amp;DEC2HEX(HEX2DEC(D$1)+SUM($C$2:C151))</f>
        <v>0x4202C8BC</v>
      </c>
    </row>
    <row r="152" spans="2:6" x14ac:dyDescent="0.2">
      <c r="B152" t="s">
        <v>1484</v>
      </c>
      <c r="C152">
        <v>10</v>
      </c>
      <c r="D152" s="10" t="str">
        <f>"0x"&amp;DEC2HEX(HEX2DEC(D$1)+SUM($C$2:C152))</f>
        <v>0x4202C8C6</v>
      </c>
    </row>
    <row r="153" spans="2:6" x14ac:dyDescent="0.2">
      <c r="B153" t="s">
        <v>1485</v>
      </c>
      <c r="C153">
        <v>10</v>
      </c>
      <c r="D153" s="10" t="str">
        <f>"0x"&amp;DEC2HEX(HEX2DEC(D$1)+SUM($C$2:C153))</f>
        <v>0x4202C8D0</v>
      </c>
    </row>
    <row r="154" spans="2:6" x14ac:dyDescent="0.2">
      <c r="B154" t="s">
        <v>1486</v>
      </c>
      <c r="C154">
        <v>68</v>
      </c>
      <c r="D154" s="10" t="str">
        <f>"0x"&amp;DEC2HEX(HEX2DEC(D$1)+SUM($C$2:C154))</f>
        <v>0x4202C914</v>
      </c>
    </row>
    <row r="155" spans="2:6" x14ac:dyDescent="0.2">
      <c r="B155" t="s">
        <v>1487</v>
      </c>
      <c r="C155">
        <v>126</v>
      </c>
      <c r="D155" s="10" t="str">
        <f>"0x"&amp;DEC2HEX(HEX2DEC(D$1)+SUM($C$2:C155))</f>
        <v>0x4202C992</v>
      </c>
    </row>
    <row r="156" spans="2:6" x14ac:dyDescent="0.2">
      <c r="B156" t="s">
        <v>1488</v>
      </c>
      <c r="C156">
        <v>902</v>
      </c>
      <c r="D156" s="10" t="str">
        <f>"0x"&amp;DEC2HEX(HEX2DEC(D$1)+SUM($C$2:C156))</f>
        <v>0x4202CD18</v>
      </c>
    </row>
    <row r="157" spans="2:6" x14ac:dyDescent="0.2">
      <c r="B157" t="s">
        <v>1489</v>
      </c>
      <c r="C157">
        <v>62</v>
      </c>
      <c r="D157" s="10" t="str">
        <f>"0x"&amp;DEC2HEX(HEX2DEC(D$1)+SUM($C$2:C157))</f>
        <v>0x4202CD56</v>
      </c>
    </row>
    <row r="158" spans="2:6" x14ac:dyDescent="0.2">
      <c r="B158" t="s">
        <v>1490</v>
      </c>
      <c r="C158">
        <v>524</v>
      </c>
      <c r="D158" s="10" t="str">
        <f>"0x"&amp;DEC2HEX(HEX2DEC(D$1)+SUM($C$2:C158))</f>
        <v>0x4202CF62</v>
      </c>
    </row>
    <row r="159" spans="2:6" x14ac:dyDescent="0.2">
      <c r="B159" t="s">
        <v>1491</v>
      </c>
      <c r="C159">
        <v>186</v>
      </c>
      <c r="D159" s="10" t="str">
        <f>"0x"&amp;DEC2HEX(HEX2DEC(D$1)+SUM($C$2:C159))</f>
        <v>0x4202D01C</v>
      </c>
    </row>
    <row r="160" spans="2:6" x14ac:dyDescent="0.2">
      <c r="B160" t="s">
        <v>1492</v>
      </c>
      <c r="C160">
        <v>394</v>
      </c>
      <c r="D160" s="10" t="str">
        <f>"0x"&amp;DEC2HEX(HEX2DEC(D$1)+SUM($C$2:C160))</f>
        <v>0x4202D1A6</v>
      </c>
    </row>
    <row r="161" spans="1:4" x14ac:dyDescent="0.2">
      <c r="B161" t="s">
        <v>1493</v>
      </c>
      <c r="C161">
        <v>10</v>
      </c>
      <c r="D161" s="10" t="str">
        <f>"0x"&amp;DEC2HEX(HEX2DEC(D$1)+SUM($C$2:C161))</f>
        <v>0x4202D1B0</v>
      </c>
    </row>
    <row r="162" spans="1:4" x14ac:dyDescent="0.2">
      <c r="B162" t="s">
        <v>1494</v>
      </c>
      <c r="C162">
        <v>30</v>
      </c>
      <c r="D162" s="10" t="str">
        <f>"0x"&amp;DEC2HEX(HEX2DEC(D$1)+SUM($C$2:C162))</f>
        <v>0x4202D1CE</v>
      </c>
    </row>
    <row r="163" spans="1:4" x14ac:dyDescent="0.2">
      <c r="B163" t="s">
        <v>1495</v>
      </c>
      <c r="C163">
        <v>390</v>
      </c>
      <c r="D163" s="10" t="str">
        <f>"0x"&amp;DEC2HEX(HEX2DEC(D$1)+SUM($C$2:C163))</f>
        <v>0x4202D354</v>
      </c>
    </row>
    <row r="164" spans="1:4" x14ac:dyDescent="0.2">
      <c r="B164" t="s">
        <v>1496</v>
      </c>
      <c r="C164">
        <v>392</v>
      </c>
      <c r="D164" s="10" t="str">
        <f>"0x"&amp;DEC2HEX(HEX2DEC(D$1)+SUM($C$2:C164))</f>
        <v>0x4202D4DC</v>
      </c>
    </row>
    <row r="165" spans="1:4" x14ac:dyDescent="0.2">
      <c r="B165" t="s">
        <v>1497</v>
      </c>
      <c r="C165">
        <v>818</v>
      </c>
      <c r="D165" s="10" t="str">
        <f>"0x"&amp;DEC2HEX(HEX2DEC(D$1)+SUM($C$2:C165))</f>
        <v>0x4202D80E</v>
      </c>
    </row>
    <row r="166" spans="1:4" x14ac:dyDescent="0.2">
      <c r="B166" t="s">
        <v>1498</v>
      </c>
      <c r="C166">
        <v>412</v>
      </c>
      <c r="D166" s="10" t="str">
        <f>"0x"&amp;DEC2HEX(HEX2DEC(D$1)+SUM($C$2:C166))</f>
        <v>0x4202D9AA</v>
      </c>
    </row>
    <row r="167" spans="1:4" x14ac:dyDescent="0.2">
      <c r="B167" t="s">
        <v>1499</v>
      </c>
      <c r="C167">
        <v>176</v>
      </c>
      <c r="D167" s="10" t="str">
        <f>"0x"&amp;DEC2HEX(HEX2DEC(D$1)+SUM($C$2:C167))</f>
        <v>0x4202DA5A</v>
      </c>
    </row>
    <row r="168" spans="1:4" x14ac:dyDescent="0.2">
      <c r="B168" t="s">
        <v>1500</v>
      </c>
      <c r="C168">
        <v>390</v>
      </c>
      <c r="D168" s="10" t="str">
        <f>"0x"&amp;DEC2HEX(HEX2DEC(D$1)+SUM($C$2:C168))</f>
        <v>0x4202DBE0</v>
      </c>
    </row>
    <row r="169" spans="1:4" x14ac:dyDescent="0.2">
      <c r="B169" t="s">
        <v>1501</v>
      </c>
      <c r="C169">
        <v>3872</v>
      </c>
      <c r="D169" s="10" t="str">
        <f>"0x"&amp;DEC2HEX(HEX2DEC(D$1)+SUM($C$2:C169))</f>
        <v>0x4202EB00</v>
      </c>
    </row>
    <row r="170" spans="1:4" x14ac:dyDescent="0.2">
      <c r="B170" t="s">
        <v>1502</v>
      </c>
      <c r="C170">
        <v>1644</v>
      </c>
      <c r="D170" s="10" t="str">
        <f>"0x"&amp;DEC2HEX(HEX2DEC(D$1)+SUM($C$2:C170))</f>
        <v>0x4202F16C</v>
      </c>
    </row>
    <row r="171" spans="1:4" x14ac:dyDescent="0.2">
      <c r="B171" t="s">
        <v>1503</v>
      </c>
      <c r="C171">
        <v>92</v>
      </c>
      <c r="D171" s="10" t="str">
        <f>"0x"&amp;DEC2HEX(HEX2DEC(D$1)+SUM($C$2:C171))</f>
        <v>0x4202F1C8</v>
      </c>
    </row>
    <row r="172" spans="1:4" x14ac:dyDescent="0.2">
      <c r="A172" t="s">
        <v>13</v>
      </c>
      <c r="D172" s="10"/>
    </row>
    <row r="173" spans="1:4" x14ac:dyDescent="0.2">
      <c r="B173" t="s">
        <v>1504</v>
      </c>
      <c r="C173">
        <v>48</v>
      </c>
      <c r="D173" s="10" t="str">
        <f>"0x"&amp;DEC2HEX(HEX2DEC(D$1)+SUM($C$2:C173))</f>
        <v>0x4202F1F8</v>
      </c>
    </row>
    <row r="174" spans="1:4" x14ac:dyDescent="0.2">
      <c r="B174" t="s">
        <v>1505</v>
      </c>
      <c r="C174">
        <v>10</v>
      </c>
      <c r="D174" s="10" t="str">
        <f>"0x"&amp;DEC2HEX(HEX2DEC(D$1)+SUM($C$2:C174))</f>
        <v>0x4202F202</v>
      </c>
    </row>
    <row r="175" spans="1:4" x14ac:dyDescent="0.2">
      <c r="B175" t="s">
        <v>1506</v>
      </c>
      <c r="C175">
        <v>10</v>
      </c>
      <c r="D175" s="10" t="str">
        <f>"0x"&amp;DEC2HEX(HEX2DEC(D$1)+SUM($C$2:C175))</f>
        <v>0x4202F20C</v>
      </c>
    </row>
    <row r="176" spans="1:4" x14ac:dyDescent="0.2">
      <c r="B176" t="s">
        <v>1507</v>
      </c>
      <c r="C176">
        <v>56</v>
      </c>
      <c r="D176" s="10" t="str">
        <f>"0x"&amp;DEC2HEX(HEX2DEC(D$1)+SUM($C$2:C176))</f>
        <v>0x4202F244</v>
      </c>
    </row>
    <row r="177" spans="2:4" x14ac:dyDescent="0.2">
      <c r="B177" t="s">
        <v>1508</v>
      </c>
      <c r="C177">
        <v>534</v>
      </c>
      <c r="D177" s="10" t="str">
        <f>"0x"&amp;DEC2HEX(HEX2DEC(D$1)+SUM($C$2:C177))</f>
        <v>0x4202F45A</v>
      </c>
    </row>
    <row r="178" spans="2:4" x14ac:dyDescent="0.2">
      <c r="B178" t="s">
        <v>1509</v>
      </c>
      <c r="C178">
        <v>420</v>
      </c>
      <c r="D178" s="10" t="str">
        <f>"0x"&amp;DEC2HEX(HEX2DEC(D$1)+SUM($C$2:C178))</f>
        <v>0x4202F5FE</v>
      </c>
    </row>
    <row r="179" spans="2:4" x14ac:dyDescent="0.2">
      <c r="B179" t="s">
        <v>1510</v>
      </c>
      <c r="C179">
        <v>142</v>
      </c>
      <c r="D179" s="10" t="str">
        <f>"0x"&amp;DEC2HEX(HEX2DEC(D$1)+SUM($C$2:C179))</f>
        <v>0x4202F68C</v>
      </c>
    </row>
    <row r="180" spans="2:4" x14ac:dyDescent="0.2">
      <c r="B180" t="s">
        <v>1511</v>
      </c>
      <c r="C180">
        <v>432</v>
      </c>
      <c r="D180" s="10" t="str">
        <f>"0x"&amp;DEC2HEX(HEX2DEC(D$1)+SUM($C$2:C180))</f>
        <v>0x4202F83C</v>
      </c>
    </row>
    <row r="181" spans="2:4" x14ac:dyDescent="0.2">
      <c r="B181" t="s">
        <v>1512</v>
      </c>
      <c r="C181">
        <v>576</v>
      </c>
      <c r="D181" s="10" t="str">
        <f>"0x"&amp;DEC2HEX(HEX2DEC(D$1)+SUM($C$2:C181))</f>
        <v>0x4202FA7C</v>
      </c>
    </row>
    <row r="182" spans="2:4" x14ac:dyDescent="0.2">
      <c r="B182" t="s">
        <v>1513</v>
      </c>
      <c r="C182">
        <v>44</v>
      </c>
      <c r="D182" s="10" t="str">
        <f>"0x"&amp;DEC2HEX(HEX2DEC(D$1)+SUM($C$2:C182))</f>
        <v>0x4202FAA8</v>
      </c>
    </row>
    <row r="183" spans="2:4" x14ac:dyDescent="0.2">
      <c r="B183" t="s">
        <v>1514</v>
      </c>
      <c r="C183">
        <v>164</v>
      </c>
      <c r="D183" s="10" t="str">
        <f>"0x"&amp;DEC2HEX(HEX2DEC(D$1)+SUM($C$2:C183))</f>
        <v>0x4202FB4C</v>
      </c>
    </row>
    <row r="184" spans="2:4" x14ac:dyDescent="0.2">
      <c r="B184" t="s">
        <v>1515</v>
      </c>
      <c r="C184">
        <v>110</v>
      </c>
      <c r="D184" s="10" t="str">
        <f>"0x"&amp;DEC2HEX(HEX2DEC(D$1)+SUM($C$2:C184))</f>
        <v>0x4202FBBA</v>
      </c>
    </row>
    <row r="185" spans="2:4" x14ac:dyDescent="0.2">
      <c r="B185" t="s">
        <v>1516</v>
      </c>
      <c r="C185">
        <v>216</v>
      </c>
      <c r="D185" s="10" t="str">
        <f>"0x"&amp;DEC2HEX(HEX2DEC(D$1)+SUM($C$2:C185))</f>
        <v>0x4202FC92</v>
      </c>
    </row>
    <row r="186" spans="2:4" x14ac:dyDescent="0.2">
      <c r="B186" t="s">
        <v>1517</v>
      </c>
      <c r="C186">
        <v>314</v>
      </c>
      <c r="D186" s="10" t="str">
        <f>"0x"&amp;DEC2HEX(HEX2DEC(D$1)+SUM($C$2:C186))</f>
        <v>0x4202FDCC</v>
      </c>
    </row>
    <row r="187" spans="2:4" x14ac:dyDescent="0.2">
      <c r="B187" t="s">
        <v>1518</v>
      </c>
      <c r="C187">
        <v>386</v>
      </c>
      <c r="D187" s="10" t="str">
        <f>"0x"&amp;DEC2HEX(HEX2DEC(D$1)+SUM($C$2:C187))</f>
        <v>0x4202FF4E</v>
      </c>
    </row>
    <row r="188" spans="2:4" x14ac:dyDescent="0.2">
      <c r="B188" t="s">
        <v>1519</v>
      </c>
      <c r="C188">
        <v>130</v>
      </c>
      <c r="D188" s="10" t="str">
        <f>"0x"&amp;DEC2HEX(HEX2DEC(D$1)+SUM($C$2:C188))</f>
        <v>0x4202FFD0</v>
      </c>
    </row>
    <row r="189" spans="2:4" x14ac:dyDescent="0.2">
      <c r="B189" t="s">
        <v>1520</v>
      </c>
      <c r="C189">
        <v>12</v>
      </c>
      <c r="D189" s="10" t="str">
        <f>"0x"&amp;DEC2HEX(HEX2DEC(D$1)+SUM($C$2:C189))</f>
        <v>0x4202FFDC</v>
      </c>
    </row>
    <row r="190" spans="2:4" x14ac:dyDescent="0.2">
      <c r="B190" t="s">
        <v>1521</v>
      </c>
      <c r="C190">
        <v>24</v>
      </c>
      <c r="D190" s="10" t="str">
        <f>"0x"&amp;DEC2HEX(HEX2DEC(D$1)+SUM($C$2:C190))</f>
        <v>0x4202FFF4</v>
      </c>
    </row>
    <row r="191" spans="2:4" x14ac:dyDescent="0.2">
      <c r="B191" t="s">
        <v>1522</v>
      </c>
      <c r="C191">
        <v>410</v>
      </c>
      <c r="D191" s="10" t="str">
        <f>"0x"&amp;DEC2HEX(HEX2DEC(D$1)+SUM($C$2:C191))</f>
        <v>0x4203018E</v>
      </c>
    </row>
    <row r="192" spans="2:4" x14ac:dyDescent="0.2">
      <c r="B192" t="s">
        <v>1523</v>
      </c>
      <c r="C192">
        <v>264</v>
      </c>
      <c r="D192" s="10" t="str">
        <f>"0x"&amp;DEC2HEX(HEX2DEC(D$1)+SUM($C$2:C192))</f>
        <v>0x42030296</v>
      </c>
    </row>
    <row r="193" spans="2:4" x14ac:dyDescent="0.2">
      <c r="B193" t="s">
        <v>1524</v>
      </c>
      <c r="C193">
        <v>168</v>
      </c>
      <c r="D193" s="10" t="str">
        <f>"0x"&amp;DEC2HEX(HEX2DEC(D$1)+SUM($C$2:C193))</f>
        <v>0x4203033E</v>
      </c>
    </row>
    <row r="194" spans="2:4" x14ac:dyDescent="0.2">
      <c r="B194" t="s">
        <v>1525</v>
      </c>
      <c r="C194">
        <v>140</v>
      </c>
      <c r="D194" s="10" t="str">
        <f>"0x"&amp;DEC2HEX(HEX2DEC(D$1)+SUM($C$2:C194))</f>
        <v>0x420303CA</v>
      </c>
    </row>
    <row r="195" spans="2:4" x14ac:dyDescent="0.2">
      <c r="B195" t="s">
        <v>1526</v>
      </c>
      <c r="C195">
        <v>126</v>
      </c>
      <c r="D195" s="10" t="str">
        <f>"0x"&amp;DEC2HEX(HEX2DEC(D$1)+SUM($C$2:C195))</f>
        <v>0x42030448</v>
      </c>
    </row>
    <row r="196" spans="2:4" x14ac:dyDescent="0.2">
      <c r="B196" t="s">
        <v>1527</v>
      </c>
      <c r="C196">
        <v>74</v>
      </c>
      <c r="D196" s="10" t="str">
        <f>"0x"&amp;DEC2HEX(HEX2DEC(D$1)+SUM($C$2:C196))</f>
        <v>0x42030492</v>
      </c>
    </row>
    <row r="197" spans="2:4" x14ac:dyDescent="0.2">
      <c r="B197" t="s">
        <v>1528</v>
      </c>
      <c r="C197">
        <v>138</v>
      </c>
      <c r="D197" s="10" t="str">
        <f>"0x"&amp;DEC2HEX(HEX2DEC(D$1)+SUM($C$2:C197))</f>
        <v>0x4203051C</v>
      </c>
    </row>
    <row r="198" spans="2:4" x14ac:dyDescent="0.2">
      <c r="B198" t="s">
        <v>1529</v>
      </c>
      <c r="C198">
        <v>288</v>
      </c>
      <c r="D198" s="10" t="str">
        <f>"0x"&amp;DEC2HEX(HEX2DEC(D$1)+SUM($C$2:C198))</f>
        <v>0x4203063C</v>
      </c>
    </row>
    <row r="199" spans="2:4" x14ac:dyDescent="0.2">
      <c r="B199" t="s">
        <v>1530</v>
      </c>
      <c r="C199">
        <v>182</v>
      </c>
      <c r="D199" s="10" t="str">
        <f>"0x"&amp;DEC2HEX(HEX2DEC(D$1)+SUM($C$2:C199))</f>
        <v>0x420306F2</v>
      </c>
    </row>
    <row r="200" spans="2:4" x14ac:dyDescent="0.2">
      <c r="B200" t="s">
        <v>1531</v>
      </c>
      <c r="C200">
        <v>866</v>
      </c>
      <c r="D200" s="10" t="str">
        <f>"0x"&amp;DEC2HEX(HEX2DEC(D$1)+SUM($C$2:C200))</f>
        <v>0x42030A54</v>
      </c>
    </row>
    <row r="201" spans="2:4" x14ac:dyDescent="0.2">
      <c r="B201" t="s">
        <v>1532</v>
      </c>
      <c r="C201">
        <v>56</v>
      </c>
      <c r="D201" s="10" t="str">
        <f>"0x"&amp;DEC2HEX(HEX2DEC(D$1)+SUM($C$2:C201))</f>
        <v>0x42030A8C</v>
      </c>
    </row>
    <row r="202" spans="2:4" x14ac:dyDescent="0.2">
      <c r="B202" t="s">
        <v>1533</v>
      </c>
      <c r="C202">
        <v>412</v>
      </c>
      <c r="D202" s="10" t="str">
        <f>"0x"&amp;DEC2HEX(HEX2DEC(D$1)+SUM($C$2:C202))</f>
        <v>0x42030C28</v>
      </c>
    </row>
    <row r="203" spans="2:4" x14ac:dyDescent="0.2">
      <c r="B203" t="s">
        <v>1534</v>
      </c>
      <c r="C203">
        <v>256</v>
      </c>
      <c r="D203" s="10" t="str">
        <f>"0x"&amp;DEC2HEX(HEX2DEC(D$1)+SUM($C$2:C203))</f>
        <v>0x42030D28</v>
      </c>
    </row>
    <row r="204" spans="2:4" x14ac:dyDescent="0.2">
      <c r="B204" t="s">
        <v>1535</v>
      </c>
      <c r="C204">
        <v>160</v>
      </c>
      <c r="D204" s="10" t="str">
        <f>"0x"&amp;DEC2HEX(HEX2DEC(D$1)+SUM($C$2:C204))</f>
        <v>0x42030DC8</v>
      </c>
    </row>
    <row r="205" spans="2:4" x14ac:dyDescent="0.2">
      <c r="B205" t="s">
        <v>1536</v>
      </c>
      <c r="C205">
        <v>62</v>
      </c>
      <c r="D205" s="10" t="str">
        <f>"0x"&amp;DEC2HEX(HEX2DEC(D$1)+SUM($C$2:C205))</f>
        <v>0x42030E06</v>
      </c>
    </row>
    <row r="206" spans="2:4" x14ac:dyDescent="0.2">
      <c r="B206" t="s">
        <v>1537</v>
      </c>
      <c r="C206">
        <v>48</v>
      </c>
      <c r="D206" s="10" t="str">
        <f>"0x"&amp;DEC2HEX(HEX2DEC(D$1)+SUM($C$2:C206))</f>
        <v>0x42030E36</v>
      </c>
    </row>
    <row r="207" spans="2:4" x14ac:dyDescent="0.2">
      <c r="B207" t="s">
        <v>1538</v>
      </c>
      <c r="C207">
        <v>334</v>
      </c>
      <c r="D207" s="10" t="str">
        <f>"0x"&amp;DEC2HEX(HEX2DEC(D$1)+SUM($C$2:C207))</f>
        <v>0x42030F84</v>
      </c>
    </row>
    <row r="208" spans="2:4" x14ac:dyDescent="0.2">
      <c r="B208" t="s">
        <v>1539</v>
      </c>
      <c r="C208">
        <v>60</v>
      </c>
      <c r="D208" s="10" t="str">
        <f>"0x"&amp;DEC2HEX(HEX2DEC(D$1)+SUM($C$2:C208))</f>
        <v>0x42030FC0</v>
      </c>
    </row>
    <row r="209" spans="1:4" x14ac:dyDescent="0.2">
      <c r="B209" t="s">
        <v>1540</v>
      </c>
      <c r="C209">
        <v>88</v>
      </c>
      <c r="D209" s="10" t="str">
        <f>"0x"&amp;DEC2HEX(HEX2DEC(D$1)+SUM($C$2:C209))</f>
        <v>0x42031018</v>
      </c>
    </row>
    <row r="210" spans="1:4" x14ac:dyDescent="0.2">
      <c r="B210" t="s">
        <v>1541</v>
      </c>
      <c r="C210">
        <v>46</v>
      </c>
      <c r="D210" s="10" t="str">
        <f>"0x"&amp;DEC2HEX(HEX2DEC(D$1)+SUM($C$2:C210))</f>
        <v>0x42031046</v>
      </c>
    </row>
    <row r="211" spans="1:4" x14ac:dyDescent="0.2">
      <c r="B211" t="s">
        <v>1542</v>
      </c>
      <c r="C211">
        <v>232</v>
      </c>
      <c r="D211" s="10" t="str">
        <f>"0x"&amp;DEC2HEX(HEX2DEC(D$1)+SUM($C$2:C211))</f>
        <v>0x4203112E</v>
      </c>
    </row>
    <row r="212" spans="1:4" x14ac:dyDescent="0.2">
      <c r="B212" t="s">
        <v>1543</v>
      </c>
      <c r="C212">
        <v>336</v>
      </c>
      <c r="D212" s="10" t="str">
        <f>"0x"&amp;DEC2HEX(HEX2DEC(D$1)+SUM($C$2:C212))</f>
        <v>0x4203127E</v>
      </c>
    </row>
    <row r="213" spans="1:4" x14ac:dyDescent="0.2">
      <c r="B213" t="s">
        <v>1544</v>
      </c>
      <c r="C213">
        <v>124</v>
      </c>
      <c r="D213" s="10" t="str">
        <f>"0x"&amp;DEC2HEX(HEX2DEC(D$1)+SUM($C$2:C213))</f>
        <v>0x420312FA</v>
      </c>
    </row>
    <row r="214" spans="1:4" x14ac:dyDescent="0.2">
      <c r="B214" t="s">
        <v>1545</v>
      </c>
      <c r="C214">
        <v>318</v>
      </c>
      <c r="D214" s="10" t="str">
        <f>"0x"&amp;DEC2HEX(HEX2DEC(D$1)+SUM($C$2:C214))</f>
        <v>0x42031438</v>
      </c>
    </row>
    <row r="215" spans="1:4" x14ac:dyDescent="0.2">
      <c r="A215" t="s">
        <v>1546</v>
      </c>
      <c r="D215" s="10"/>
    </row>
    <row r="216" spans="1:4" x14ac:dyDescent="0.2">
      <c r="B216" t="s">
        <v>1547</v>
      </c>
      <c r="C216">
        <v>72</v>
      </c>
      <c r="D216" s="10" t="str">
        <f>"0x"&amp;DEC2HEX(HEX2DEC(D$1)+SUM($C$2:C216))</f>
        <v>0x42031480</v>
      </c>
    </row>
    <row r="217" spans="1:4" x14ac:dyDescent="0.2">
      <c r="B217" t="s">
        <v>1548</v>
      </c>
      <c r="C217">
        <v>92</v>
      </c>
      <c r="D217" s="10" t="str">
        <f>"0x"&amp;DEC2HEX(HEX2DEC(D$1)+SUM($C$2:C217))</f>
        <v>0x420314DC</v>
      </c>
    </row>
    <row r="218" spans="1:4" x14ac:dyDescent="0.2">
      <c r="A218" t="s">
        <v>1549</v>
      </c>
      <c r="D218" s="10"/>
    </row>
    <row r="219" spans="1:4" x14ac:dyDescent="0.2">
      <c r="B219" t="s">
        <v>1550</v>
      </c>
      <c r="C219">
        <v>100</v>
      </c>
      <c r="D219" s="10" t="str">
        <f>"0x"&amp;DEC2HEX(HEX2DEC(D$1)+SUM($C$2:C219))</f>
        <v>0x42031540</v>
      </c>
    </row>
    <row r="220" spans="1:4" x14ac:dyDescent="0.2">
      <c r="B220" t="s">
        <v>1551</v>
      </c>
      <c r="C220">
        <v>276</v>
      </c>
      <c r="D220" s="10" t="str">
        <f>"0x"&amp;DEC2HEX(HEX2DEC(D$1)+SUM($C$2:C220))</f>
        <v>0x42031654</v>
      </c>
    </row>
    <row r="221" spans="1:4" x14ac:dyDescent="0.2">
      <c r="B221" t="s">
        <v>1552</v>
      </c>
      <c r="C221">
        <v>446</v>
      </c>
      <c r="D221" s="10" t="str">
        <f>"0x"&amp;DEC2HEX(HEX2DEC(D$1)+SUM($C$2:C221))</f>
        <v>0x42031812</v>
      </c>
    </row>
    <row r="222" spans="1:4" x14ac:dyDescent="0.2">
      <c r="B222" t="s">
        <v>1553</v>
      </c>
      <c r="C222">
        <v>72</v>
      </c>
      <c r="D222" s="10" t="str">
        <f>"0x"&amp;DEC2HEX(HEX2DEC(D$1)+SUM($C$2:C222))</f>
        <v>0x4203185A</v>
      </c>
    </row>
    <row r="223" spans="1:4" x14ac:dyDescent="0.2">
      <c r="B223" t="s">
        <v>1554</v>
      </c>
      <c r="C223">
        <v>238</v>
      </c>
      <c r="D223" s="10" t="str">
        <f>"0x"&amp;DEC2HEX(HEX2DEC(D$1)+SUM($C$2:C223))</f>
        <v>0x42031948</v>
      </c>
    </row>
    <row r="224" spans="1:4" x14ac:dyDescent="0.2">
      <c r="B224" t="s">
        <v>1555</v>
      </c>
      <c r="C224">
        <v>308</v>
      </c>
      <c r="D224" s="10" t="str">
        <f>"0x"&amp;DEC2HEX(HEX2DEC(D$1)+SUM($C$2:C224))</f>
        <v>0x42031A7C</v>
      </c>
    </row>
    <row r="225" spans="1:4" x14ac:dyDescent="0.2">
      <c r="B225" t="s">
        <v>1556</v>
      </c>
      <c r="C225">
        <v>16</v>
      </c>
      <c r="D225" s="10" t="str">
        <f>"0x"&amp;DEC2HEX(HEX2DEC(D$1)+SUM($C$2:C225))</f>
        <v>0x42031A8C</v>
      </c>
    </row>
    <row r="226" spans="1:4" x14ac:dyDescent="0.2">
      <c r="B226" t="s">
        <v>1557</v>
      </c>
      <c r="C226">
        <v>182</v>
      </c>
      <c r="D226" s="10" t="str">
        <f>"0x"&amp;DEC2HEX(HEX2DEC(D$1)+SUM($C$2:C226))</f>
        <v>0x42031B42</v>
      </c>
    </row>
    <row r="227" spans="1:4" x14ac:dyDescent="0.2">
      <c r="B227" t="s">
        <v>1558</v>
      </c>
      <c r="C227">
        <v>102</v>
      </c>
      <c r="D227" s="10" t="str">
        <f>"0x"&amp;DEC2HEX(HEX2DEC(D$1)+SUM($C$2:C227))</f>
        <v>0x42031BA8</v>
      </c>
    </row>
    <row r="228" spans="1:4" x14ac:dyDescent="0.2">
      <c r="B228" t="s">
        <v>1559</v>
      </c>
      <c r="C228">
        <v>72</v>
      </c>
      <c r="D228" s="10" t="str">
        <f>"0x"&amp;DEC2HEX(HEX2DEC(D$1)+SUM($C$2:C228))</f>
        <v>0x42031BF0</v>
      </c>
    </row>
    <row r="229" spans="1:4" x14ac:dyDescent="0.2">
      <c r="B229" t="s">
        <v>1560</v>
      </c>
      <c r="C229">
        <v>1408</v>
      </c>
      <c r="D229" s="10" t="str">
        <f>"0x"&amp;DEC2HEX(HEX2DEC(D$1)+SUM($C$2:C229))</f>
        <v>0x42032170</v>
      </c>
    </row>
    <row r="230" spans="1:4" x14ac:dyDescent="0.2">
      <c r="B230" t="s">
        <v>1561</v>
      </c>
      <c r="C230">
        <v>280</v>
      </c>
      <c r="D230" s="10" t="str">
        <f>"0x"&amp;DEC2HEX(HEX2DEC(D$1)+SUM($C$2:C230))</f>
        <v>0x42032288</v>
      </c>
    </row>
    <row r="231" spans="1:4" x14ac:dyDescent="0.2">
      <c r="B231" t="s">
        <v>1562</v>
      </c>
      <c r="C231">
        <v>56</v>
      </c>
      <c r="D231" s="10" t="str">
        <f>"0x"&amp;DEC2HEX(HEX2DEC(D$1)+SUM($C$2:C231))</f>
        <v>0x420322C0</v>
      </c>
    </row>
    <row r="232" spans="1:4" x14ac:dyDescent="0.2">
      <c r="B232" t="s">
        <v>1563</v>
      </c>
      <c r="C232">
        <v>40</v>
      </c>
      <c r="D232" s="10" t="str">
        <f>"0x"&amp;DEC2HEX(HEX2DEC(D$1)+SUM($C$2:C232))</f>
        <v>0x420322E8</v>
      </c>
    </row>
    <row r="233" spans="1:4" x14ac:dyDescent="0.2">
      <c r="B233" t="s">
        <v>1564</v>
      </c>
      <c r="C233">
        <v>144</v>
      </c>
      <c r="D233" s="10" t="str">
        <f>"0x"&amp;DEC2HEX(HEX2DEC(D$1)+SUM($C$2:C233))</f>
        <v>0x42032378</v>
      </c>
    </row>
    <row r="234" spans="1:4" x14ac:dyDescent="0.2">
      <c r="B234" t="s">
        <v>1565</v>
      </c>
      <c r="C234">
        <v>1982</v>
      </c>
      <c r="D234" s="10" t="str">
        <f>"0x"&amp;DEC2HEX(HEX2DEC(D$1)+SUM($C$2:C234))</f>
        <v>0x42032B36</v>
      </c>
    </row>
    <row r="235" spans="1:4" x14ac:dyDescent="0.2">
      <c r="B235" t="s">
        <v>1566</v>
      </c>
      <c r="C235">
        <v>30</v>
      </c>
      <c r="D235" s="10" t="str">
        <f>"0x"&amp;DEC2HEX(HEX2DEC(D$1)+SUM($C$2:C235))</f>
        <v>0x42032B54</v>
      </c>
    </row>
    <row r="236" spans="1:4" x14ac:dyDescent="0.2">
      <c r="B236" t="s">
        <v>1567</v>
      </c>
      <c r="C236">
        <v>158</v>
      </c>
      <c r="D236" s="10" t="str">
        <f>"0x"&amp;DEC2HEX(HEX2DEC(D$1)+SUM($C$2:C236))</f>
        <v>0x42032BF2</v>
      </c>
    </row>
    <row r="237" spans="1:4" x14ac:dyDescent="0.2">
      <c r="B237" t="s">
        <v>1568</v>
      </c>
      <c r="C237">
        <v>178</v>
      </c>
      <c r="D237" s="10" t="str">
        <f>"0x"&amp;DEC2HEX(HEX2DEC(D$1)+SUM($C$2:C237))</f>
        <v>0x42032CA4</v>
      </c>
    </row>
    <row r="238" spans="1:4" x14ac:dyDescent="0.2">
      <c r="B238" t="s">
        <v>1569</v>
      </c>
      <c r="C238">
        <v>4</v>
      </c>
      <c r="D238" s="10" t="str">
        <f>"0x"&amp;DEC2HEX(HEX2DEC(D$1)+SUM($C$2:C238))</f>
        <v>0x42032CA8</v>
      </c>
    </row>
    <row r="239" spans="1:4" x14ac:dyDescent="0.2">
      <c r="A239" t="s">
        <v>14</v>
      </c>
      <c r="D239" s="10"/>
    </row>
    <row r="240" spans="1:4" x14ac:dyDescent="0.2">
      <c r="B240" t="s">
        <v>1570</v>
      </c>
      <c r="C240">
        <v>54</v>
      </c>
      <c r="D240" s="10" t="str">
        <f>"0x"&amp;DEC2HEX(HEX2DEC(D$1)+SUM($C$2:C240))</f>
        <v>0x42032CDE</v>
      </c>
    </row>
    <row r="241" spans="2:4" x14ac:dyDescent="0.2">
      <c r="B241" t="s">
        <v>1571</v>
      </c>
      <c r="C241">
        <v>274</v>
      </c>
      <c r="D241" s="10" t="str">
        <f>"0x"&amp;DEC2HEX(HEX2DEC(D$1)+SUM($C$2:C241))</f>
        <v>0x42032DF0</v>
      </c>
    </row>
    <row r="242" spans="2:4" x14ac:dyDescent="0.2">
      <c r="B242" t="s">
        <v>1572</v>
      </c>
      <c r="C242">
        <v>1166</v>
      </c>
      <c r="D242" s="10" t="str">
        <f>"0x"&amp;DEC2HEX(HEX2DEC(D$1)+SUM($C$2:C242))</f>
        <v>0x4203327E</v>
      </c>
    </row>
    <row r="243" spans="2:4" x14ac:dyDescent="0.2">
      <c r="B243" t="s">
        <v>1573</v>
      </c>
      <c r="C243">
        <v>40</v>
      </c>
      <c r="D243" s="10" t="str">
        <f>"0x"&amp;DEC2HEX(HEX2DEC(D$1)+SUM($C$2:C243))</f>
        <v>0x420332A6</v>
      </c>
    </row>
    <row r="244" spans="2:4" x14ac:dyDescent="0.2">
      <c r="B244" t="s">
        <v>1574</v>
      </c>
      <c r="C244">
        <v>4</v>
      </c>
      <c r="D244" s="10" t="str">
        <f>"0x"&amp;DEC2HEX(HEX2DEC(D$1)+SUM($C$2:C244))</f>
        <v>0x420332AA</v>
      </c>
    </row>
    <row r="245" spans="2:4" x14ac:dyDescent="0.2">
      <c r="B245" t="s">
        <v>1575</v>
      </c>
      <c r="C245">
        <v>4</v>
      </c>
      <c r="D245" s="10" t="str">
        <f>"0x"&amp;DEC2HEX(HEX2DEC(D$1)+SUM($C$2:C245))</f>
        <v>0x420332AE</v>
      </c>
    </row>
    <row r="246" spans="2:4" x14ac:dyDescent="0.2">
      <c r="B246" t="s">
        <v>1576</v>
      </c>
      <c r="C246">
        <v>88</v>
      </c>
      <c r="D246" s="10" t="str">
        <f>"0x"&amp;DEC2HEX(HEX2DEC(D$1)+SUM($C$2:C246))</f>
        <v>0x42033306</v>
      </c>
    </row>
    <row r="247" spans="2:4" x14ac:dyDescent="0.2">
      <c r="B247" t="s">
        <v>1577</v>
      </c>
      <c r="C247">
        <v>164</v>
      </c>
      <c r="D247" s="10" t="str">
        <f>"0x"&amp;DEC2HEX(HEX2DEC(D$1)+SUM($C$2:C247))</f>
        <v>0x420333AA</v>
      </c>
    </row>
    <row r="248" spans="2:4" x14ac:dyDescent="0.2">
      <c r="B248" t="s">
        <v>1578</v>
      </c>
      <c r="C248">
        <v>416</v>
      </c>
      <c r="D248" s="10" t="str">
        <f>"0x"&amp;DEC2HEX(HEX2DEC(D$1)+SUM($C$2:C248))</f>
        <v>0x4203354A</v>
      </c>
    </row>
    <row r="249" spans="2:4" x14ac:dyDescent="0.2">
      <c r="B249" t="s">
        <v>1579</v>
      </c>
      <c r="C249">
        <v>118</v>
      </c>
      <c r="D249" s="10" t="str">
        <f>"0x"&amp;DEC2HEX(HEX2DEC(D$1)+SUM($C$2:C249))</f>
        <v>0x420335C0</v>
      </c>
    </row>
    <row r="250" spans="2:4" x14ac:dyDescent="0.2">
      <c r="B250" t="s">
        <v>1580</v>
      </c>
      <c r="C250">
        <v>144</v>
      </c>
      <c r="D250" s="10" t="str">
        <f>"0x"&amp;DEC2HEX(HEX2DEC(D$1)+SUM($C$2:C250))</f>
        <v>0x42033650</v>
      </c>
    </row>
    <row r="251" spans="2:4" x14ac:dyDescent="0.2">
      <c r="B251" t="s">
        <v>1581</v>
      </c>
      <c r="C251">
        <v>142</v>
      </c>
      <c r="D251" s="10" t="str">
        <f>"0x"&amp;DEC2HEX(HEX2DEC(D$1)+SUM($C$2:C251))</f>
        <v>0x420336DE</v>
      </c>
    </row>
    <row r="252" spans="2:4" x14ac:dyDescent="0.2">
      <c r="B252" t="s">
        <v>1582</v>
      </c>
      <c r="C252">
        <v>26</v>
      </c>
      <c r="D252" s="10" t="str">
        <f>"0x"&amp;DEC2HEX(HEX2DEC(D$1)+SUM($C$2:C252))</f>
        <v>0x420336F8</v>
      </c>
    </row>
    <row r="253" spans="2:4" x14ac:dyDescent="0.2">
      <c r="B253" t="s">
        <v>1583</v>
      </c>
      <c r="C253">
        <v>1904</v>
      </c>
      <c r="D253" s="10" t="str">
        <f>"0x"&amp;DEC2HEX(HEX2DEC(D$1)+SUM($C$2:C253))</f>
        <v>0x42033E68</v>
      </c>
    </row>
    <row r="254" spans="2:4" x14ac:dyDescent="0.2">
      <c r="B254" t="s">
        <v>1584</v>
      </c>
      <c r="C254">
        <v>38</v>
      </c>
      <c r="D254" s="10" t="str">
        <f>"0x"&amp;DEC2HEX(HEX2DEC(D$1)+SUM($C$2:C254))</f>
        <v>0x42033E8E</v>
      </c>
    </row>
    <row r="255" spans="2:4" x14ac:dyDescent="0.2">
      <c r="B255" t="s">
        <v>1585</v>
      </c>
      <c r="C255">
        <v>38</v>
      </c>
      <c r="D255" s="10" t="str">
        <f>"0x"&amp;DEC2HEX(HEX2DEC(D$1)+SUM($C$2:C255))</f>
        <v>0x42033EB4</v>
      </c>
    </row>
    <row r="256" spans="2:4" x14ac:dyDescent="0.2">
      <c r="B256" t="s">
        <v>1586</v>
      </c>
      <c r="C256">
        <v>102</v>
      </c>
      <c r="D256" s="10" t="str">
        <f>"0x"&amp;DEC2HEX(HEX2DEC(D$1)+SUM($C$2:C256))</f>
        <v>0x42033F1A</v>
      </c>
    </row>
    <row r="257" spans="2:4" x14ac:dyDescent="0.2">
      <c r="B257" t="s">
        <v>1587</v>
      </c>
      <c r="C257">
        <v>358</v>
      </c>
      <c r="D257" s="10" t="str">
        <f>"0x"&amp;DEC2HEX(HEX2DEC(D$1)+SUM($C$2:C257))</f>
        <v>0x42034080</v>
      </c>
    </row>
    <row r="258" spans="2:4" x14ac:dyDescent="0.2">
      <c r="B258" t="s">
        <v>1588</v>
      </c>
      <c r="C258">
        <v>52</v>
      </c>
      <c r="D258" s="10" t="str">
        <f>"0x"&amp;DEC2HEX(HEX2DEC(D$1)+SUM($C$2:C258))</f>
        <v>0x420340B4</v>
      </c>
    </row>
    <row r="259" spans="2:4" x14ac:dyDescent="0.2">
      <c r="B259" t="s">
        <v>1589</v>
      </c>
      <c r="C259">
        <v>318</v>
      </c>
      <c r="D259" s="10" t="str">
        <f>"0x"&amp;DEC2HEX(HEX2DEC(D$1)+SUM($C$2:C259))</f>
        <v>0x420341F2</v>
      </c>
    </row>
    <row r="260" spans="2:4" x14ac:dyDescent="0.2">
      <c r="B260" t="s">
        <v>1590</v>
      </c>
      <c r="C260">
        <v>426</v>
      </c>
      <c r="D260" s="10" t="str">
        <f>"0x"&amp;DEC2HEX(HEX2DEC(D$1)+SUM($C$2:C260))</f>
        <v>0x4203439C</v>
      </c>
    </row>
    <row r="261" spans="2:4" x14ac:dyDescent="0.2">
      <c r="B261" t="s">
        <v>1591</v>
      </c>
      <c r="C261">
        <v>520</v>
      </c>
      <c r="D261" s="10" t="str">
        <f>"0x"&amp;DEC2HEX(HEX2DEC(D$1)+SUM($C$2:C261))</f>
        <v>0x420345A4</v>
      </c>
    </row>
    <row r="262" spans="2:4" x14ac:dyDescent="0.2">
      <c r="B262" t="s">
        <v>1592</v>
      </c>
      <c r="C262">
        <v>68</v>
      </c>
      <c r="D262" s="10" t="str">
        <f>"0x"&amp;DEC2HEX(HEX2DEC(D$1)+SUM($C$2:C262))</f>
        <v>0x420345E8</v>
      </c>
    </row>
    <row r="263" spans="2:4" x14ac:dyDescent="0.2">
      <c r="B263" t="s">
        <v>1593</v>
      </c>
      <c r="C263">
        <v>4</v>
      </c>
      <c r="D263" s="10" t="str">
        <f>"0x"&amp;DEC2HEX(HEX2DEC(D$1)+SUM($C$2:C263))</f>
        <v>0x420345EC</v>
      </c>
    </row>
    <row r="264" spans="2:4" x14ac:dyDescent="0.2">
      <c r="B264" t="s">
        <v>1594</v>
      </c>
      <c r="C264">
        <v>60</v>
      </c>
      <c r="D264" s="10" t="str">
        <f>"0x"&amp;DEC2HEX(HEX2DEC(D$1)+SUM($C$2:C264))</f>
        <v>0x42034628</v>
      </c>
    </row>
    <row r="265" spans="2:4" x14ac:dyDescent="0.2">
      <c r="B265" t="s">
        <v>1595</v>
      </c>
      <c r="C265">
        <v>272</v>
      </c>
      <c r="D265" s="10" t="str">
        <f>"0x"&amp;DEC2HEX(HEX2DEC(D$1)+SUM($C$2:C265))</f>
        <v>0x42034738</v>
      </c>
    </row>
    <row r="266" spans="2:4" x14ac:dyDescent="0.2">
      <c r="B266" t="s">
        <v>1596</v>
      </c>
      <c r="C266">
        <v>32</v>
      </c>
      <c r="D266" s="10" t="str">
        <f>"0x"&amp;DEC2HEX(HEX2DEC(D$1)+SUM($C$2:C266))</f>
        <v>0x42034758</v>
      </c>
    </row>
    <row r="267" spans="2:4" x14ac:dyDescent="0.2">
      <c r="B267" t="s">
        <v>1597</v>
      </c>
      <c r="C267">
        <v>214</v>
      </c>
      <c r="D267" s="10" t="str">
        <f>"0x"&amp;DEC2HEX(HEX2DEC(D$1)+SUM($C$2:C267))</f>
        <v>0x4203482E</v>
      </c>
    </row>
    <row r="268" spans="2:4" x14ac:dyDescent="0.2">
      <c r="B268" t="s">
        <v>1598</v>
      </c>
      <c r="C268">
        <v>142</v>
      </c>
      <c r="D268" s="10" t="str">
        <f>"0x"&amp;DEC2HEX(HEX2DEC(D$1)+SUM($C$2:C268))</f>
        <v>0x420348BC</v>
      </c>
    </row>
    <row r="269" spans="2:4" x14ac:dyDescent="0.2">
      <c r="B269" t="s">
        <v>1599</v>
      </c>
      <c r="C269">
        <v>104</v>
      </c>
      <c r="D269" s="10" t="str">
        <f>"0x"&amp;DEC2HEX(HEX2DEC(D$1)+SUM($C$2:C269))</f>
        <v>0x42034924</v>
      </c>
    </row>
    <row r="270" spans="2:4" x14ac:dyDescent="0.2">
      <c r="B270" t="s">
        <v>1600</v>
      </c>
      <c r="C270">
        <v>1084</v>
      </c>
      <c r="D270" s="10" t="str">
        <f>"0x"&amp;DEC2HEX(HEX2DEC(D$1)+SUM($C$2:C270))</f>
        <v>0x42034D60</v>
      </c>
    </row>
    <row r="271" spans="2:4" x14ac:dyDescent="0.2">
      <c r="B271" t="s">
        <v>1601</v>
      </c>
      <c r="C271">
        <v>44</v>
      </c>
      <c r="D271" s="10" t="str">
        <f>"0x"&amp;DEC2HEX(HEX2DEC(D$1)+SUM($C$2:C271))</f>
        <v>0x42034D8C</v>
      </c>
    </row>
    <row r="272" spans="2:4" x14ac:dyDescent="0.2">
      <c r="B272" t="s">
        <v>1602</v>
      </c>
      <c r="C272">
        <v>10</v>
      </c>
      <c r="D272" s="10" t="str">
        <f>"0x"&amp;DEC2HEX(HEX2DEC(D$1)+SUM($C$2:C272))</f>
        <v>0x42034D96</v>
      </c>
    </row>
    <row r="273" spans="1:4" x14ac:dyDescent="0.2">
      <c r="B273" t="s">
        <v>1603</v>
      </c>
      <c r="C273">
        <v>10</v>
      </c>
      <c r="D273" s="10" t="str">
        <f>"0x"&amp;DEC2HEX(HEX2DEC(D$1)+SUM($C$2:C273))</f>
        <v>0x42034DA0</v>
      </c>
    </row>
    <row r="274" spans="1:4" x14ac:dyDescent="0.2">
      <c r="B274" t="s">
        <v>1604</v>
      </c>
      <c r="C274">
        <v>116</v>
      </c>
      <c r="D274" s="10" t="str">
        <f>"0x"&amp;DEC2HEX(HEX2DEC(D$1)+SUM($C$2:C274))</f>
        <v>0x42034E14</v>
      </c>
    </row>
    <row r="275" spans="1:4" x14ac:dyDescent="0.2">
      <c r="B275" t="s">
        <v>1605</v>
      </c>
      <c r="C275">
        <v>382</v>
      </c>
      <c r="D275" s="10" t="str">
        <f>"0x"&amp;DEC2HEX(HEX2DEC(D$1)+SUM($C$2:C275))</f>
        <v>0x42034F92</v>
      </c>
    </row>
    <row r="276" spans="1:4" x14ac:dyDescent="0.2">
      <c r="B276" t="s">
        <v>1606</v>
      </c>
      <c r="C276">
        <v>26</v>
      </c>
      <c r="D276" s="10" t="str">
        <f>"0x"&amp;DEC2HEX(HEX2DEC(D$1)+SUM($C$2:C276))</f>
        <v>0x42034FAC</v>
      </c>
    </row>
    <row r="277" spans="1:4" x14ac:dyDescent="0.2">
      <c r="B277" t="s">
        <v>1607</v>
      </c>
      <c r="C277">
        <v>346</v>
      </c>
      <c r="D277" s="10" t="str">
        <f>"0x"&amp;DEC2HEX(HEX2DEC(D$1)+SUM($C$2:C277))</f>
        <v>0x42035106</v>
      </c>
    </row>
    <row r="278" spans="1:4" x14ac:dyDescent="0.2">
      <c r="B278" t="s">
        <v>1608</v>
      </c>
      <c r="C278">
        <v>24</v>
      </c>
      <c r="D278" s="10" t="str">
        <f>"0x"&amp;DEC2HEX(HEX2DEC(D$1)+SUM($C$2:C278))</f>
        <v>0x4203511E</v>
      </c>
    </row>
    <row r="279" spans="1:4" x14ac:dyDescent="0.2">
      <c r="B279" t="s">
        <v>1609</v>
      </c>
      <c r="C279">
        <v>288</v>
      </c>
      <c r="D279" s="10" t="str">
        <f>"0x"&amp;DEC2HEX(HEX2DEC(D$1)+SUM($C$2:C279))</f>
        <v>0x4203523E</v>
      </c>
    </row>
    <row r="280" spans="1:4" x14ac:dyDescent="0.2">
      <c r="B280" t="s">
        <v>1610</v>
      </c>
      <c r="C280">
        <v>44</v>
      </c>
      <c r="D280" s="10" t="str">
        <f>"0x"&amp;DEC2HEX(HEX2DEC(D$1)+SUM($C$2:C280))</f>
        <v>0x4203526A</v>
      </c>
    </row>
    <row r="281" spans="1:4" x14ac:dyDescent="0.2">
      <c r="B281" t="s">
        <v>1611</v>
      </c>
      <c r="C281">
        <v>16</v>
      </c>
      <c r="D281" s="10" t="str">
        <f>"0x"&amp;DEC2HEX(HEX2DEC(D$1)+SUM($C$2:C281))</f>
        <v>0x4203527A</v>
      </c>
    </row>
    <row r="282" spans="1:4" x14ac:dyDescent="0.2">
      <c r="B282" t="s">
        <v>1612</v>
      </c>
      <c r="C282">
        <v>40</v>
      </c>
      <c r="D282" s="10" t="str">
        <f>"0x"&amp;DEC2HEX(HEX2DEC(D$1)+SUM($C$2:C282))</f>
        <v>0x420352A2</v>
      </c>
    </row>
    <row r="283" spans="1:4" x14ac:dyDescent="0.2">
      <c r="B283" t="s">
        <v>1613</v>
      </c>
      <c r="C283">
        <v>48</v>
      </c>
      <c r="D283" s="10" t="str">
        <f>"0x"&amp;DEC2HEX(HEX2DEC(D$1)+SUM($C$2:C283))</f>
        <v>0x420352D2</v>
      </c>
    </row>
    <row r="284" spans="1:4" x14ac:dyDescent="0.2">
      <c r="B284" t="s">
        <v>1614</v>
      </c>
      <c r="C284">
        <v>12</v>
      </c>
      <c r="D284" s="10" t="str">
        <f>"0x"&amp;DEC2HEX(HEX2DEC(D$1)+SUM($C$2:C284))</f>
        <v>0x420352DE</v>
      </c>
    </row>
    <row r="285" spans="1:4" x14ac:dyDescent="0.2">
      <c r="B285" t="s">
        <v>1615</v>
      </c>
      <c r="C285">
        <v>434</v>
      </c>
      <c r="D285" s="10" t="str">
        <f>"0x"&amp;DEC2HEX(HEX2DEC(D$1)+SUM($C$2:C285))</f>
        <v>0x42035490</v>
      </c>
    </row>
    <row r="286" spans="1:4" x14ac:dyDescent="0.2">
      <c r="B286" t="s">
        <v>1616</v>
      </c>
      <c r="C286">
        <v>42</v>
      </c>
      <c r="D286" s="10" t="str">
        <f>"0x"&amp;DEC2HEX(HEX2DEC(D$1)+SUM($C$2:C286))</f>
        <v>0x420354BA</v>
      </c>
    </row>
    <row r="287" spans="1:4" x14ac:dyDescent="0.2">
      <c r="A287" t="s">
        <v>1617</v>
      </c>
      <c r="D287" s="10"/>
    </row>
    <row r="288" spans="1:4" x14ac:dyDescent="0.2">
      <c r="A288" t="s">
        <v>1618</v>
      </c>
      <c r="D288" s="10"/>
    </row>
    <row r="289" spans="1:4" x14ac:dyDescent="0.2">
      <c r="B289" t="s">
        <v>1619</v>
      </c>
      <c r="C289">
        <v>150</v>
      </c>
      <c r="D289" s="10" t="str">
        <f>"0x"&amp;DEC2HEX(HEX2DEC(D$1)+SUM($C$2:C289))</f>
        <v>0x42035550</v>
      </c>
    </row>
    <row r="290" spans="1:4" x14ac:dyDescent="0.2">
      <c r="A290" t="s">
        <v>1620</v>
      </c>
      <c r="D290" s="10"/>
    </row>
    <row r="291" spans="1:4" x14ac:dyDescent="0.2">
      <c r="A291" t="s">
        <v>1621</v>
      </c>
      <c r="D291" s="10"/>
    </row>
    <row r="292" spans="1:4" x14ac:dyDescent="0.2">
      <c r="A292" t="s">
        <v>1622</v>
      </c>
      <c r="D292" s="10"/>
    </row>
    <row r="293" spans="1:4" x14ac:dyDescent="0.2">
      <c r="A293" t="s">
        <v>1623</v>
      </c>
      <c r="D293" s="10"/>
    </row>
    <row r="294" spans="1:4" x14ac:dyDescent="0.2">
      <c r="A294" t="s">
        <v>1624</v>
      </c>
      <c r="D294" s="10"/>
    </row>
    <row r="295" spans="1:4" x14ac:dyDescent="0.2">
      <c r="A295" t="s">
        <v>1625</v>
      </c>
      <c r="D295" s="10"/>
    </row>
    <row r="296" spans="1:4" x14ac:dyDescent="0.2">
      <c r="B296" t="s">
        <v>1626</v>
      </c>
      <c r="C296">
        <v>168</v>
      </c>
      <c r="D296" s="10" t="str">
        <f>"0x"&amp;DEC2HEX(HEX2DEC(D$1)+SUM($C$2:C296))</f>
        <v>0x420355F8</v>
      </c>
    </row>
    <row r="297" spans="1:4" x14ac:dyDescent="0.2">
      <c r="B297" t="s">
        <v>1627</v>
      </c>
      <c r="C297">
        <v>2126</v>
      </c>
      <c r="D297" s="10" t="str">
        <f>"0x"&amp;DEC2HEX(HEX2DEC(D$1)+SUM($C$2:C297))</f>
        <v>0x42035E46</v>
      </c>
    </row>
    <row r="298" spans="1:4" x14ac:dyDescent="0.2">
      <c r="B298" t="s">
        <v>1628</v>
      </c>
      <c r="C298">
        <v>10</v>
      </c>
      <c r="D298" s="10" t="str">
        <f>"0x"&amp;DEC2HEX(HEX2DEC(D$1)+SUM($C$2:C298))</f>
        <v>0x42035E50</v>
      </c>
    </row>
    <row r="299" spans="1:4" x14ac:dyDescent="0.2">
      <c r="B299" t="s">
        <v>1629</v>
      </c>
      <c r="C299">
        <v>58</v>
      </c>
      <c r="D299" s="10" t="str">
        <f>"0x"&amp;DEC2HEX(HEX2DEC(D$1)+SUM($C$2:C299))</f>
        <v>0x42035E8A</v>
      </c>
    </row>
    <row r="300" spans="1:4" x14ac:dyDescent="0.2">
      <c r="B300" t="s">
        <v>1630</v>
      </c>
      <c r="C300">
        <v>408</v>
      </c>
      <c r="D300" s="10" t="str">
        <f>"0x"&amp;DEC2HEX(HEX2DEC(D$1)+SUM($C$2:C300))</f>
        <v>0x42036022</v>
      </c>
    </row>
    <row r="301" spans="1:4" x14ac:dyDescent="0.2">
      <c r="B301" t="s">
        <v>1631</v>
      </c>
      <c r="C301">
        <v>102</v>
      </c>
      <c r="D301" s="10" t="str">
        <f>"0x"&amp;DEC2HEX(HEX2DEC(D$1)+SUM($C$2:C301))</f>
        <v>0x42036088</v>
      </c>
    </row>
    <row r="302" spans="1:4" x14ac:dyDescent="0.2">
      <c r="B302" t="s">
        <v>1632</v>
      </c>
      <c r="C302">
        <v>418</v>
      </c>
      <c r="D302" s="10" t="str">
        <f>"0x"&amp;DEC2HEX(HEX2DEC(D$1)+SUM($C$2:C302))</f>
        <v>0x4203622A</v>
      </c>
    </row>
    <row r="303" spans="1:4" x14ac:dyDescent="0.2">
      <c r="B303" t="s">
        <v>1633</v>
      </c>
      <c r="C303">
        <v>90</v>
      </c>
      <c r="D303" s="10" t="str">
        <f>"0x"&amp;DEC2HEX(HEX2DEC(D$1)+SUM($C$2:C303))</f>
        <v>0x42036284</v>
      </c>
    </row>
    <row r="304" spans="1:4" x14ac:dyDescent="0.2">
      <c r="B304" t="s">
        <v>1634</v>
      </c>
      <c r="C304">
        <v>38</v>
      </c>
      <c r="D304" s="10" t="str">
        <f>"0x"&amp;DEC2HEX(HEX2DEC(D$1)+SUM($C$2:C304))</f>
        <v>0x420362AA</v>
      </c>
    </row>
    <row r="305" spans="1:4" x14ac:dyDescent="0.2">
      <c r="B305" t="s">
        <v>1635</v>
      </c>
      <c r="C305">
        <v>80</v>
      </c>
      <c r="D305" s="10" t="str">
        <f>"0x"&amp;DEC2HEX(HEX2DEC(D$1)+SUM($C$2:C305))</f>
        <v>0x420362FA</v>
      </c>
    </row>
    <row r="306" spans="1:4" x14ac:dyDescent="0.2">
      <c r="B306" t="s">
        <v>1636</v>
      </c>
      <c r="C306">
        <v>88</v>
      </c>
      <c r="D306" s="10" t="str">
        <f>"0x"&amp;DEC2HEX(HEX2DEC(D$1)+SUM($C$2:C306))</f>
        <v>0x42036352</v>
      </c>
    </row>
    <row r="307" spans="1:4" x14ac:dyDescent="0.2">
      <c r="B307" t="s">
        <v>1637</v>
      </c>
      <c r="C307">
        <v>78</v>
      </c>
      <c r="D307" s="10" t="str">
        <f>"0x"&amp;DEC2HEX(HEX2DEC(D$1)+SUM($C$2:C307))</f>
        <v>0x420363A0</v>
      </c>
    </row>
    <row r="308" spans="1:4" x14ac:dyDescent="0.2">
      <c r="B308" t="s">
        <v>1638</v>
      </c>
      <c r="C308">
        <v>80</v>
      </c>
      <c r="D308" s="10" t="str">
        <f>"0x"&amp;DEC2HEX(HEX2DEC(D$1)+SUM($C$2:C308))</f>
        <v>0x420363F0</v>
      </c>
    </row>
    <row r="309" spans="1:4" x14ac:dyDescent="0.2">
      <c r="B309" t="s">
        <v>1639</v>
      </c>
      <c r="C309">
        <v>26</v>
      </c>
      <c r="D309" s="10" t="str">
        <f>"0x"&amp;DEC2HEX(HEX2DEC(D$1)+SUM($C$2:C309))</f>
        <v>0x4203640A</v>
      </c>
    </row>
    <row r="310" spans="1:4" x14ac:dyDescent="0.2">
      <c r="B310" t="s">
        <v>1640</v>
      </c>
      <c r="C310">
        <v>24</v>
      </c>
      <c r="D310" s="10" t="str">
        <f>"0x"&amp;DEC2HEX(HEX2DEC(D$1)+SUM($C$2:C310))</f>
        <v>0x42036422</v>
      </c>
    </row>
    <row r="311" spans="1:4" x14ac:dyDescent="0.2">
      <c r="B311" t="s">
        <v>1641</v>
      </c>
      <c r="C311">
        <v>604</v>
      </c>
      <c r="D311" s="10" t="str">
        <f>"0x"&amp;DEC2HEX(HEX2DEC(D$1)+SUM($C$2:C311))</f>
        <v>0x4203667E</v>
      </c>
    </row>
    <row r="312" spans="1:4" x14ac:dyDescent="0.2">
      <c r="B312" t="s">
        <v>1642</v>
      </c>
      <c r="C312">
        <v>14</v>
      </c>
      <c r="D312" s="10" t="str">
        <f>"0x"&amp;DEC2HEX(HEX2DEC(D$1)+SUM($C$2:C312))</f>
        <v>0x4203668C</v>
      </c>
    </row>
    <row r="313" spans="1:4" x14ac:dyDescent="0.2">
      <c r="B313" t="s">
        <v>1643</v>
      </c>
      <c r="C313">
        <v>132</v>
      </c>
      <c r="D313" s="10" t="str">
        <f>"0x"&amp;DEC2HEX(HEX2DEC(D$1)+SUM($C$2:C313))</f>
        <v>0x42036710</v>
      </c>
    </row>
    <row r="314" spans="1:4" x14ac:dyDescent="0.2">
      <c r="B314" t="s">
        <v>1644</v>
      </c>
      <c r="C314">
        <v>98</v>
      </c>
      <c r="D314" s="10" t="str">
        <f>"0x"&amp;DEC2HEX(HEX2DEC(D$1)+SUM($C$2:C314))</f>
        <v>0x42036772</v>
      </c>
    </row>
    <row r="315" spans="1:4" x14ac:dyDescent="0.2">
      <c r="B315" t="s">
        <v>1645</v>
      </c>
      <c r="C315">
        <v>126</v>
      </c>
      <c r="D315" s="10" t="str">
        <f>"0x"&amp;DEC2HEX(HEX2DEC(D$1)+SUM($C$2:C315))</f>
        <v>0x420367F0</v>
      </c>
    </row>
    <row r="316" spans="1:4" x14ac:dyDescent="0.2">
      <c r="A316" t="s">
        <v>15</v>
      </c>
      <c r="D316" s="10"/>
    </row>
    <row r="317" spans="1:4" x14ac:dyDescent="0.2">
      <c r="B317" t="s">
        <v>1646</v>
      </c>
      <c r="C317">
        <v>38</v>
      </c>
      <c r="D317" s="10" t="str">
        <f>"0x"&amp;DEC2HEX(HEX2DEC(D$1)+SUM($C$2:C317))</f>
        <v>0x42036816</v>
      </c>
    </row>
    <row r="318" spans="1:4" x14ac:dyDescent="0.2">
      <c r="B318" t="s">
        <v>1647</v>
      </c>
      <c r="C318">
        <v>58</v>
      </c>
      <c r="D318" s="10" t="str">
        <f>"0x"&amp;DEC2HEX(HEX2DEC(D$1)+SUM($C$2:C318))</f>
        <v>0x42036850</v>
      </c>
    </row>
    <row r="319" spans="1:4" x14ac:dyDescent="0.2">
      <c r="B319" t="s">
        <v>1648</v>
      </c>
      <c r="C319">
        <v>64</v>
      </c>
      <c r="D319" s="10" t="str">
        <f>"0x"&amp;DEC2HEX(HEX2DEC(D$1)+SUM($C$2:C319))</f>
        <v>0x42036890</v>
      </c>
    </row>
    <row r="320" spans="1:4" x14ac:dyDescent="0.2">
      <c r="B320" t="s">
        <v>1649</v>
      </c>
      <c r="C320">
        <v>152</v>
      </c>
      <c r="D320" s="10" t="str">
        <f>"0x"&amp;DEC2HEX(HEX2DEC(D$1)+SUM($C$2:C320))</f>
        <v>0x42036928</v>
      </c>
    </row>
    <row r="321" spans="2:4" x14ac:dyDescent="0.2">
      <c r="B321" t="s">
        <v>1650</v>
      </c>
      <c r="C321">
        <v>50</v>
      </c>
      <c r="D321" s="10" t="str">
        <f>"0x"&amp;DEC2HEX(HEX2DEC(D$1)+SUM($C$2:C321))</f>
        <v>0x4203695A</v>
      </c>
    </row>
    <row r="322" spans="2:4" x14ac:dyDescent="0.2">
      <c r="B322" t="s">
        <v>1651</v>
      </c>
      <c r="C322">
        <v>76</v>
      </c>
      <c r="D322" s="10" t="str">
        <f>"0x"&amp;DEC2HEX(HEX2DEC(D$1)+SUM($C$2:C322))</f>
        <v>0x420369A6</v>
      </c>
    </row>
    <row r="323" spans="2:4" x14ac:dyDescent="0.2">
      <c r="B323" t="s">
        <v>1652</v>
      </c>
      <c r="C323">
        <v>234</v>
      </c>
      <c r="D323" s="10" t="str">
        <f>"0x"&amp;DEC2HEX(HEX2DEC(D$1)+SUM($C$2:C323))</f>
        <v>0x42036A90</v>
      </c>
    </row>
    <row r="324" spans="2:4" x14ac:dyDescent="0.2">
      <c r="B324" t="s">
        <v>1653</v>
      </c>
      <c r="C324">
        <v>42</v>
      </c>
      <c r="D324" s="10" t="str">
        <f>"0x"&amp;DEC2HEX(HEX2DEC(D$1)+SUM($C$2:C324))</f>
        <v>0x42036ABA</v>
      </c>
    </row>
    <row r="325" spans="2:4" x14ac:dyDescent="0.2">
      <c r="B325" t="s">
        <v>1654</v>
      </c>
      <c r="C325">
        <v>54</v>
      </c>
      <c r="D325" s="10" t="str">
        <f>"0x"&amp;DEC2HEX(HEX2DEC(D$1)+SUM($C$2:C325))</f>
        <v>0x42036AF0</v>
      </c>
    </row>
    <row r="326" spans="2:4" x14ac:dyDescent="0.2">
      <c r="B326" t="s">
        <v>1655</v>
      </c>
      <c r="C326">
        <v>344</v>
      </c>
      <c r="D326" s="10" t="str">
        <f>"0x"&amp;DEC2HEX(HEX2DEC(D$1)+SUM($C$2:C326))</f>
        <v>0x42036C48</v>
      </c>
    </row>
    <row r="327" spans="2:4" x14ac:dyDescent="0.2">
      <c r="B327" t="s">
        <v>1656</v>
      </c>
      <c r="C327">
        <v>374</v>
      </c>
      <c r="D327" s="10" t="str">
        <f>"0x"&amp;DEC2HEX(HEX2DEC(D$1)+SUM($C$2:C327))</f>
        <v>0x42036DBE</v>
      </c>
    </row>
    <row r="328" spans="2:4" x14ac:dyDescent="0.2">
      <c r="B328" t="s">
        <v>1657</v>
      </c>
      <c r="C328">
        <v>370</v>
      </c>
      <c r="D328" s="10" t="str">
        <f>"0x"&amp;DEC2HEX(HEX2DEC(D$1)+SUM($C$2:C328))</f>
        <v>0x42036F30</v>
      </c>
    </row>
    <row r="329" spans="2:4" x14ac:dyDescent="0.2">
      <c r="B329" t="s">
        <v>1658</v>
      </c>
      <c r="C329">
        <v>60</v>
      </c>
      <c r="D329" s="10" t="str">
        <f>"0x"&amp;DEC2HEX(HEX2DEC(D$1)+SUM($C$2:C329))</f>
        <v>0x42036F6C</v>
      </c>
    </row>
    <row r="330" spans="2:4" x14ac:dyDescent="0.2">
      <c r="B330" t="s">
        <v>1659</v>
      </c>
      <c r="C330">
        <v>44</v>
      </c>
      <c r="D330" s="10" t="str">
        <f>"0x"&amp;DEC2HEX(HEX2DEC(D$1)+SUM($C$2:C330))</f>
        <v>0x42036F98</v>
      </c>
    </row>
    <row r="331" spans="2:4" x14ac:dyDescent="0.2">
      <c r="B331" t="s">
        <v>1660</v>
      </c>
      <c r="C331">
        <v>98</v>
      </c>
      <c r="D331" s="10" t="str">
        <f>"0x"&amp;DEC2HEX(HEX2DEC(D$1)+SUM($C$2:C331))</f>
        <v>0x42036FFA</v>
      </c>
    </row>
    <row r="332" spans="2:4" x14ac:dyDescent="0.2">
      <c r="B332" t="s">
        <v>1661</v>
      </c>
      <c r="C332">
        <v>54</v>
      </c>
      <c r="D332" s="10" t="str">
        <f>"0x"&amp;DEC2HEX(HEX2DEC(D$1)+SUM($C$2:C332))</f>
        <v>0x42037030</v>
      </c>
    </row>
    <row r="333" spans="2:4" x14ac:dyDescent="0.2">
      <c r="B333" t="s">
        <v>1662</v>
      </c>
      <c r="C333">
        <v>54</v>
      </c>
      <c r="D333" s="10" t="str">
        <f>"0x"&amp;DEC2HEX(HEX2DEC(D$1)+SUM($C$2:C333))</f>
        <v>0x42037066</v>
      </c>
    </row>
    <row r="334" spans="2:4" x14ac:dyDescent="0.2">
      <c r="B334" t="s">
        <v>1663</v>
      </c>
      <c r="C334">
        <v>50</v>
      </c>
      <c r="D334" s="10" t="str">
        <f>"0x"&amp;DEC2HEX(HEX2DEC(D$1)+SUM($C$2:C334))</f>
        <v>0x42037098</v>
      </c>
    </row>
    <row r="335" spans="2:4" x14ac:dyDescent="0.2">
      <c r="B335" t="s">
        <v>1664</v>
      </c>
      <c r="C335">
        <v>50</v>
      </c>
      <c r="D335" s="10" t="str">
        <f>"0x"&amp;DEC2HEX(HEX2DEC(D$1)+SUM($C$2:C335))</f>
        <v>0x420370CA</v>
      </c>
    </row>
    <row r="336" spans="2:4" x14ac:dyDescent="0.2">
      <c r="B336" t="s">
        <v>1665</v>
      </c>
      <c r="C336">
        <v>50</v>
      </c>
      <c r="D336" s="10" t="str">
        <f>"0x"&amp;DEC2HEX(HEX2DEC(D$1)+SUM($C$2:C336))</f>
        <v>0x420370FC</v>
      </c>
    </row>
    <row r="337" spans="2:4" x14ac:dyDescent="0.2">
      <c r="B337" t="s">
        <v>1666</v>
      </c>
      <c r="C337">
        <v>130</v>
      </c>
      <c r="D337" s="10" t="str">
        <f>"0x"&amp;DEC2HEX(HEX2DEC(D$1)+SUM($C$2:C337))</f>
        <v>0x4203717E</v>
      </c>
    </row>
    <row r="338" spans="2:4" x14ac:dyDescent="0.2">
      <c r="B338" t="s">
        <v>1667</v>
      </c>
      <c r="C338">
        <v>48</v>
      </c>
      <c r="D338" s="10" t="str">
        <f>"0x"&amp;DEC2HEX(HEX2DEC(D$1)+SUM($C$2:C338))</f>
        <v>0x420371AE</v>
      </c>
    </row>
    <row r="339" spans="2:4" x14ac:dyDescent="0.2">
      <c r="B339" t="s">
        <v>1668</v>
      </c>
      <c r="C339">
        <v>214</v>
      </c>
      <c r="D339" s="10" t="str">
        <f>"0x"&amp;DEC2HEX(HEX2DEC(D$1)+SUM($C$2:C339))</f>
        <v>0x42037284</v>
      </c>
    </row>
    <row r="340" spans="2:4" x14ac:dyDescent="0.2">
      <c r="B340" t="s">
        <v>1669</v>
      </c>
      <c r="C340">
        <v>130</v>
      </c>
      <c r="D340" s="10" t="str">
        <f>"0x"&amp;DEC2HEX(HEX2DEC(D$1)+SUM($C$2:C340))</f>
        <v>0x42037306</v>
      </c>
    </row>
    <row r="341" spans="2:4" x14ac:dyDescent="0.2">
      <c r="B341" t="s">
        <v>1670</v>
      </c>
      <c r="C341">
        <v>28</v>
      </c>
      <c r="D341" s="10" t="str">
        <f>"0x"&amp;DEC2HEX(HEX2DEC(D$1)+SUM($C$2:C341))</f>
        <v>0x42037322</v>
      </c>
    </row>
    <row r="342" spans="2:4" x14ac:dyDescent="0.2">
      <c r="B342" t="s">
        <v>1671</v>
      </c>
      <c r="C342">
        <v>70</v>
      </c>
      <c r="D342" s="10" t="str">
        <f>"0x"&amp;DEC2HEX(HEX2DEC(D$1)+SUM($C$2:C342))</f>
        <v>0x42037368</v>
      </c>
    </row>
    <row r="343" spans="2:4" x14ac:dyDescent="0.2">
      <c r="B343" t="s">
        <v>1672</v>
      </c>
      <c r="C343">
        <v>174</v>
      </c>
      <c r="D343" s="10" t="str">
        <f>"0x"&amp;DEC2HEX(HEX2DEC(D$1)+SUM($C$2:C343))</f>
        <v>0x42037416</v>
      </c>
    </row>
    <row r="344" spans="2:4" x14ac:dyDescent="0.2">
      <c r="B344" t="s">
        <v>1673</v>
      </c>
      <c r="C344">
        <v>546</v>
      </c>
      <c r="D344" s="10" t="str">
        <f>"0x"&amp;DEC2HEX(HEX2DEC(D$1)+SUM($C$2:C344))</f>
        <v>0x42037638</v>
      </c>
    </row>
    <row r="345" spans="2:4" x14ac:dyDescent="0.2">
      <c r="B345" t="s">
        <v>1674</v>
      </c>
      <c r="C345">
        <v>134</v>
      </c>
      <c r="D345" s="10" t="str">
        <f>"0x"&amp;DEC2HEX(HEX2DEC(D$1)+SUM($C$2:C345))</f>
        <v>0x420376BE</v>
      </c>
    </row>
    <row r="346" spans="2:4" x14ac:dyDescent="0.2">
      <c r="B346" t="s">
        <v>1675</v>
      </c>
      <c r="C346">
        <v>1212</v>
      </c>
      <c r="D346" s="10" t="str">
        <f>"0x"&amp;DEC2HEX(HEX2DEC(D$1)+SUM($C$2:C346))</f>
        <v>0x42037B7A</v>
      </c>
    </row>
    <row r="347" spans="2:4" x14ac:dyDescent="0.2">
      <c r="B347" t="s">
        <v>1676</v>
      </c>
      <c r="C347">
        <v>864</v>
      </c>
      <c r="D347" s="10" t="str">
        <f>"0x"&amp;DEC2HEX(HEX2DEC(D$1)+SUM($C$2:C347))</f>
        <v>0x42037EDA</v>
      </c>
    </row>
    <row r="348" spans="2:4" x14ac:dyDescent="0.2">
      <c r="B348" t="s">
        <v>1677</v>
      </c>
      <c r="C348">
        <v>790</v>
      </c>
      <c r="D348" s="10" t="str">
        <f>"0x"&amp;DEC2HEX(HEX2DEC(D$1)+SUM($C$2:C348))</f>
        <v>0x420381F0</v>
      </c>
    </row>
    <row r="349" spans="2:4" x14ac:dyDescent="0.2">
      <c r="B349" t="s">
        <v>1678</v>
      </c>
      <c r="C349">
        <v>54</v>
      </c>
      <c r="D349" s="10" t="str">
        <f>"0x"&amp;DEC2HEX(HEX2DEC(D$1)+SUM($C$2:C349))</f>
        <v>0x42038226</v>
      </c>
    </row>
    <row r="350" spans="2:4" x14ac:dyDescent="0.2">
      <c r="B350" t="s">
        <v>1679</v>
      </c>
      <c r="C350">
        <v>96</v>
      </c>
      <c r="D350" s="10" t="str">
        <f>"0x"&amp;DEC2HEX(HEX2DEC(D$1)+SUM($C$2:C350))</f>
        <v>0x42038286</v>
      </c>
    </row>
    <row r="351" spans="2:4" x14ac:dyDescent="0.2">
      <c r="B351" t="s">
        <v>1680</v>
      </c>
      <c r="C351">
        <v>98</v>
      </c>
      <c r="D351" s="10" t="str">
        <f>"0x"&amp;DEC2HEX(HEX2DEC(D$1)+SUM($C$2:C351))</f>
        <v>0x420382E8</v>
      </c>
    </row>
    <row r="352" spans="2:4" x14ac:dyDescent="0.2">
      <c r="B352" t="s">
        <v>1681</v>
      </c>
      <c r="C352">
        <v>12</v>
      </c>
      <c r="D352" s="10" t="str">
        <f>"0x"&amp;DEC2HEX(HEX2DEC(D$1)+SUM($C$2:C352))</f>
        <v>0x420382F4</v>
      </c>
    </row>
    <row r="353" spans="1:4" x14ac:dyDescent="0.2">
      <c r="B353" t="s">
        <v>1682</v>
      </c>
      <c r="C353">
        <v>226</v>
      </c>
      <c r="D353" s="10" t="str">
        <f>"0x"&amp;DEC2HEX(HEX2DEC(D$1)+SUM($C$2:C353))</f>
        <v>0x420383D6</v>
      </c>
    </row>
    <row r="354" spans="1:4" x14ac:dyDescent="0.2">
      <c r="B354" t="s">
        <v>1683</v>
      </c>
      <c r="C354">
        <v>132</v>
      </c>
      <c r="D354" s="10" t="str">
        <f>"0x"&amp;DEC2HEX(HEX2DEC(D$1)+SUM($C$2:C354))</f>
        <v>0x4203845A</v>
      </c>
    </row>
    <row r="355" spans="1:4" x14ac:dyDescent="0.2">
      <c r="B355" t="s">
        <v>1684</v>
      </c>
      <c r="C355">
        <v>508</v>
      </c>
      <c r="D355" s="10" t="str">
        <f>"0x"&amp;DEC2HEX(HEX2DEC(D$1)+SUM($C$2:C355))</f>
        <v>0x42038656</v>
      </c>
    </row>
    <row r="356" spans="1:4" x14ac:dyDescent="0.2">
      <c r="B356" t="s">
        <v>1685</v>
      </c>
      <c r="C356">
        <v>728</v>
      </c>
      <c r="D356" s="10" t="str">
        <f>"0x"&amp;DEC2HEX(HEX2DEC(D$1)+SUM($C$2:C356))</f>
        <v>0x4203892E</v>
      </c>
    </row>
    <row r="357" spans="1:4" x14ac:dyDescent="0.2">
      <c r="B357" t="s">
        <v>1686</v>
      </c>
      <c r="C357">
        <v>80</v>
      </c>
      <c r="D357" s="10" t="str">
        <f>"0x"&amp;DEC2HEX(HEX2DEC(D$1)+SUM($C$2:C357))</f>
        <v>0x4203897E</v>
      </c>
    </row>
    <row r="358" spans="1:4" x14ac:dyDescent="0.2">
      <c r="B358" t="s">
        <v>1687</v>
      </c>
      <c r="C358">
        <v>440</v>
      </c>
      <c r="D358" s="10" t="str">
        <f>"0x"&amp;DEC2HEX(HEX2DEC(D$1)+SUM($C$2:C358))</f>
        <v>0x42038B36</v>
      </c>
    </row>
    <row r="359" spans="1:4" x14ac:dyDescent="0.2">
      <c r="B359" t="s">
        <v>1688</v>
      </c>
      <c r="C359">
        <v>656</v>
      </c>
      <c r="D359" s="10" t="str">
        <f>"0x"&amp;DEC2HEX(HEX2DEC(D$1)+SUM($C$2:C359))</f>
        <v>0x42038DC6</v>
      </c>
    </row>
    <row r="360" spans="1:4" x14ac:dyDescent="0.2">
      <c r="B360" t="s">
        <v>1689</v>
      </c>
      <c r="C360">
        <v>316</v>
      </c>
      <c r="D360" s="10" t="str">
        <f>"0x"&amp;DEC2HEX(HEX2DEC(D$1)+SUM($C$2:C360))</f>
        <v>0x42038F02</v>
      </c>
    </row>
    <row r="361" spans="1:4" x14ac:dyDescent="0.2">
      <c r="B361" t="s">
        <v>1690</v>
      </c>
      <c r="C361">
        <v>610</v>
      </c>
      <c r="D361" s="10" t="str">
        <f>"0x"&amp;DEC2HEX(HEX2DEC(D$1)+SUM($C$2:C361))</f>
        <v>0x42039164</v>
      </c>
    </row>
    <row r="362" spans="1:4" x14ac:dyDescent="0.2">
      <c r="B362" t="s">
        <v>1691</v>
      </c>
      <c r="C362">
        <v>286</v>
      </c>
      <c r="D362" s="10" t="str">
        <f>"0x"&amp;DEC2HEX(HEX2DEC(D$1)+SUM($C$2:C362))</f>
        <v>0x42039282</v>
      </c>
    </row>
    <row r="363" spans="1:4" x14ac:dyDescent="0.2">
      <c r="B363" t="s">
        <v>1692</v>
      </c>
      <c r="C363">
        <v>246</v>
      </c>
      <c r="D363" s="10" t="str">
        <f>"0x"&amp;DEC2HEX(HEX2DEC(D$1)+SUM($C$2:C363))</f>
        <v>0x42039378</v>
      </c>
    </row>
    <row r="364" spans="1:4" x14ac:dyDescent="0.2">
      <c r="B364" t="s">
        <v>1693</v>
      </c>
      <c r="C364">
        <v>264</v>
      </c>
      <c r="D364" s="10" t="str">
        <f>"0x"&amp;DEC2HEX(HEX2DEC(D$1)+SUM($C$2:C364))</f>
        <v>0x42039480</v>
      </c>
    </row>
    <row r="365" spans="1:4" x14ac:dyDescent="0.2">
      <c r="B365" t="s">
        <v>1694</v>
      </c>
      <c r="C365">
        <v>542</v>
      </c>
      <c r="D365" s="10" t="str">
        <f>"0x"&amp;DEC2HEX(HEX2DEC(D$1)+SUM($C$2:C365))</f>
        <v>0x4203969E</v>
      </c>
    </row>
    <row r="366" spans="1:4" x14ac:dyDescent="0.2">
      <c r="B366" t="s">
        <v>1695</v>
      </c>
      <c r="C366">
        <v>270</v>
      </c>
      <c r="D366" s="10" t="str">
        <f>"0x"&amp;DEC2HEX(HEX2DEC(D$1)+SUM($C$2:C366))</f>
        <v>0x420397AC</v>
      </c>
    </row>
    <row r="367" spans="1:4" x14ac:dyDescent="0.2">
      <c r="B367" t="s">
        <v>1696</v>
      </c>
      <c r="C367">
        <v>42</v>
      </c>
      <c r="D367" s="10" t="str">
        <f>"0x"&amp;DEC2HEX(HEX2DEC(D$1)+SUM($C$2:C367))</f>
        <v>0x420397D6</v>
      </c>
    </row>
    <row r="368" spans="1:4" x14ac:dyDescent="0.2">
      <c r="A368" t="s">
        <v>1697</v>
      </c>
      <c r="D368" s="10"/>
    </row>
    <row r="369" spans="1:4" x14ac:dyDescent="0.2">
      <c r="B369" t="s">
        <v>1698</v>
      </c>
      <c r="C369">
        <v>16</v>
      </c>
      <c r="D369" s="10" t="str">
        <f>"0x"&amp;DEC2HEX(HEX2DEC(D$1)+SUM($C$2:C369))</f>
        <v>0x420397E6</v>
      </c>
    </row>
    <row r="370" spans="1:4" x14ac:dyDescent="0.2">
      <c r="B370" t="s">
        <v>1699</v>
      </c>
      <c r="C370">
        <v>90</v>
      </c>
      <c r="D370" s="10" t="str">
        <f>"0x"&amp;DEC2HEX(HEX2DEC(D$1)+SUM($C$2:C370))</f>
        <v>0x42039840</v>
      </c>
    </row>
    <row r="371" spans="1:4" x14ac:dyDescent="0.2">
      <c r="B371" t="s">
        <v>1700</v>
      </c>
      <c r="C371">
        <v>134</v>
      </c>
      <c r="D371" s="10" t="str">
        <f>"0x"&amp;DEC2HEX(HEX2DEC(D$1)+SUM($C$2:C371))</f>
        <v>0x420398C6</v>
      </c>
    </row>
    <row r="372" spans="1:4" x14ac:dyDescent="0.2">
      <c r="B372" t="s">
        <v>1701</v>
      </c>
      <c r="C372">
        <v>332</v>
      </c>
      <c r="D372" s="10" t="str">
        <f>"0x"&amp;DEC2HEX(HEX2DEC(D$1)+SUM($C$2:C372))</f>
        <v>0x42039A12</v>
      </c>
    </row>
    <row r="373" spans="1:4" x14ac:dyDescent="0.2">
      <c r="B373" t="s">
        <v>1702</v>
      </c>
      <c r="C373">
        <v>174</v>
      </c>
      <c r="D373" s="10" t="str">
        <f>"0x"&amp;DEC2HEX(HEX2DEC(D$1)+SUM($C$2:C373))</f>
        <v>0x42039AC0</v>
      </c>
    </row>
    <row r="374" spans="1:4" x14ac:dyDescent="0.2">
      <c r="A374" t="s">
        <v>1703</v>
      </c>
      <c r="D374" s="10"/>
    </row>
    <row r="375" spans="1:4" x14ac:dyDescent="0.2">
      <c r="B375" t="s">
        <v>1704</v>
      </c>
      <c r="C375">
        <v>28</v>
      </c>
      <c r="D375" s="10" t="str">
        <f>"0x"&amp;DEC2HEX(HEX2DEC(D$1)+SUM($C$2:C375))</f>
        <v>0x42039ADC</v>
      </c>
    </row>
    <row r="376" spans="1:4" x14ac:dyDescent="0.2">
      <c r="B376" t="s">
        <v>1705</v>
      </c>
      <c r="C376">
        <v>64</v>
      </c>
      <c r="D376" s="10" t="str">
        <f>"0x"&amp;DEC2HEX(HEX2DEC(D$1)+SUM($C$2:C376))</f>
        <v>0x42039B1C</v>
      </c>
    </row>
    <row r="377" spans="1:4" x14ac:dyDescent="0.2">
      <c r="B377" t="s">
        <v>1706</v>
      </c>
      <c r="C377">
        <v>58</v>
      </c>
      <c r="D377" s="10" t="str">
        <f>"0x"&amp;DEC2HEX(HEX2DEC(D$1)+SUM($C$2:C377))</f>
        <v>0x42039B56</v>
      </c>
    </row>
    <row r="378" spans="1:4" x14ac:dyDescent="0.2">
      <c r="B378" t="s">
        <v>1707</v>
      </c>
      <c r="C378">
        <v>126</v>
      </c>
      <c r="D378" s="10" t="str">
        <f>"0x"&amp;DEC2HEX(HEX2DEC(D$1)+SUM($C$2:C378))</f>
        <v>0x42039BD4</v>
      </c>
    </row>
    <row r="379" spans="1:4" x14ac:dyDescent="0.2">
      <c r="B379" t="s">
        <v>1708</v>
      </c>
      <c r="C379">
        <v>62</v>
      </c>
      <c r="D379" s="10" t="str">
        <f>"0x"&amp;DEC2HEX(HEX2DEC(D$1)+SUM($C$2:C379))</f>
        <v>0x42039C12</v>
      </c>
    </row>
    <row r="380" spans="1:4" x14ac:dyDescent="0.2">
      <c r="B380" t="s">
        <v>1709</v>
      </c>
      <c r="C380">
        <v>100</v>
      </c>
      <c r="D380" s="10" t="str">
        <f>"0x"&amp;DEC2HEX(HEX2DEC(D$1)+SUM($C$2:C380))</f>
        <v>0x42039C76</v>
      </c>
    </row>
    <row r="381" spans="1:4" x14ac:dyDescent="0.2">
      <c r="B381" t="s">
        <v>1710</v>
      </c>
      <c r="C381">
        <v>124</v>
      </c>
      <c r="D381" s="10" t="str">
        <f>"0x"&amp;DEC2HEX(HEX2DEC(D$1)+SUM($C$2:C381))</f>
        <v>0x42039CF2</v>
      </c>
    </row>
    <row r="382" spans="1:4" x14ac:dyDescent="0.2">
      <c r="B382" t="s">
        <v>1711</v>
      </c>
      <c r="C382">
        <v>68</v>
      </c>
      <c r="D382" s="10" t="str">
        <f>"0x"&amp;DEC2HEX(HEX2DEC(D$1)+SUM($C$2:C382))</f>
        <v>0x42039D36</v>
      </c>
    </row>
    <row r="383" spans="1:4" x14ac:dyDescent="0.2">
      <c r="B383" t="s">
        <v>1712</v>
      </c>
      <c r="C383">
        <v>142</v>
      </c>
      <c r="D383" s="10" t="str">
        <f>"0x"&amp;DEC2HEX(HEX2DEC(D$1)+SUM($C$2:C383))</f>
        <v>0x42039DC4</v>
      </c>
    </row>
    <row r="384" spans="1:4" x14ac:dyDescent="0.2">
      <c r="B384" t="s">
        <v>1713</v>
      </c>
      <c r="C384">
        <v>282</v>
      </c>
      <c r="D384" s="10" t="str">
        <f>"0x"&amp;DEC2HEX(HEX2DEC(D$1)+SUM($C$2:C384))</f>
        <v>0x42039EDE</v>
      </c>
    </row>
    <row r="385" spans="1:4" x14ac:dyDescent="0.2">
      <c r="B385" t="s">
        <v>1714</v>
      </c>
      <c r="C385">
        <v>104</v>
      </c>
      <c r="D385" s="10" t="str">
        <f>"0x"&amp;DEC2HEX(HEX2DEC(D$1)+SUM($C$2:C385))</f>
        <v>0x42039F46</v>
      </c>
    </row>
    <row r="386" spans="1:4" x14ac:dyDescent="0.2">
      <c r="B386" t="s">
        <v>1715</v>
      </c>
      <c r="C386">
        <v>82</v>
      </c>
      <c r="D386" s="10" t="str">
        <f>"0x"&amp;DEC2HEX(HEX2DEC(D$1)+SUM($C$2:C386))</f>
        <v>0x42039F98</v>
      </c>
    </row>
    <row r="387" spans="1:4" x14ac:dyDescent="0.2">
      <c r="B387" t="s">
        <v>1716</v>
      </c>
      <c r="C387">
        <v>80</v>
      </c>
      <c r="D387" s="10" t="str">
        <f>"0x"&amp;DEC2HEX(HEX2DEC(D$1)+SUM($C$2:C387))</f>
        <v>0x42039FE8</v>
      </c>
    </row>
    <row r="388" spans="1:4" x14ac:dyDescent="0.2">
      <c r="B388" t="s">
        <v>1717</v>
      </c>
      <c r="C388">
        <v>80</v>
      </c>
      <c r="D388" s="10" t="str">
        <f>"0x"&amp;DEC2HEX(HEX2DEC(D$1)+SUM($C$2:C388))</f>
        <v>0x4203A038</v>
      </c>
    </row>
    <row r="389" spans="1:4" x14ac:dyDescent="0.2">
      <c r="A389" t="s">
        <v>1718</v>
      </c>
      <c r="D389" s="10"/>
    </row>
    <row r="390" spans="1:4" x14ac:dyDescent="0.2">
      <c r="B390" t="s">
        <v>1719</v>
      </c>
      <c r="C390">
        <v>30</v>
      </c>
      <c r="D390" s="10" t="str">
        <f>"0x"&amp;DEC2HEX(HEX2DEC(D$1)+SUM($C$2:C390))</f>
        <v>0x4203A056</v>
      </c>
    </row>
    <row r="391" spans="1:4" x14ac:dyDescent="0.2">
      <c r="B391" t="s">
        <v>1720</v>
      </c>
      <c r="C391">
        <v>56</v>
      </c>
      <c r="D391" s="10" t="str">
        <f>"0x"&amp;DEC2HEX(HEX2DEC(D$1)+SUM($C$2:C391))</f>
        <v>0x4203A08E</v>
      </c>
    </row>
    <row r="392" spans="1:4" x14ac:dyDescent="0.2">
      <c r="B392" t="s">
        <v>1721</v>
      </c>
      <c r="C392">
        <v>18</v>
      </c>
      <c r="D392" s="10" t="str">
        <f>"0x"&amp;DEC2HEX(HEX2DEC(D$1)+SUM($C$2:C392))</f>
        <v>0x4203A0A0</v>
      </c>
    </row>
    <row r="393" spans="1:4" x14ac:dyDescent="0.2">
      <c r="B393" t="s">
        <v>1722</v>
      </c>
      <c r="C393">
        <v>98</v>
      </c>
      <c r="D393" s="10" t="str">
        <f>"0x"&amp;DEC2HEX(HEX2DEC(D$1)+SUM($C$2:C393))</f>
        <v>0x4203A102</v>
      </c>
    </row>
    <row r="394" spans="1:4" x14ac:dyDescent="0.2">
      <c r="B394" t="s">
        <v>1723</v>
      </c>
      <c r="C394">
        <v>270</v>
      </c>
      <c r="D394" s="10" t="str">
        <f>"0x"&amp;DEC2HEX(HEX2DEC(D$1)+SUM($C$2:C394))</f>
        <v>0x4203A210</v>
      </c>
    </row>
    <row r="395" spans="1:4" x14ac:dyDescent="0.2">
      <c r="A395" t="s">
        <v>1724</v>
      </c>
      <c r="D395" s="10"/>
    </row>
    <row r="396" spans="1:4" x14ac:dyDescent="0.2">
      <c r="B396" t="s">
        <v>1725</v>
      </c>
      <c r="C396">
        <v>62</v>
      </c>
      <c r="D396" s="10" t="str">
        <f>"0x"&amp;DEC2HEX(HEX2DEC(D$1)+SUM($C$2:C396))</f>
        <v>0x4203A24E</v>
      </c>
    </row>
    <row r="397" spans="1:4" x14ac:dyDescent="0.2">
      <c r="B397" t="s">
        <v>1726</v>
      </c>
      <c r="C397">
        <v>84</v>
      </c>
      <c r="D397" s="10" t="str">
        <f>"0x"&amp;DEC2HEX(HEX2DEC(D$1)+SUM($C$2:C397))</f>
        <v>0x4203A2A2</v>
      </c>
    </row>
    <row r="398" spans="1:4" x14ac:dyDescent="0.2">
      <c r="A398" t="s">
        <v>1727</v>
      </c>
      <c r="D398" s="10"/>
    </row>
    <row r="399" spans="1:4" x14ac:dyDescent="0.2">
      <c r="B399" t="s">
        <v>1728</v>
      </c>
      <c r="C399">
        <v>56</v>
      </c>
      <c r="D399" s="10" t="str">
        <f>"0x"&amp;DEC2HEX(HEX2DEC(D$1)+SUM($C$2:C399))</f>
        <v>0x4203A2DA</v>
      </c>
    </row>
    <row r="400" spans="1:4" x14ac:dyDescent="0.2">
      <c r="B400" t="s">
        <v>1729</v>
      </c>
      <c r="C400">
        <v>46</v>
      </c>
      <c r="D400" s="10" t="str">
        <f>"0x"&amp;DEC2HEX(HEX2DEC(D$1)+SUM($C$2:C400))</f>
        <v>0x4203A308</v>
      </c>
    </row>
    <row r="401" spans="1:4" x14ac:dyDescent="0.2">
      <c r="B401" t="s">
        <v>1730</v>
      </c>
      <c r="C401">
        <v>358</v>
      </c>
      <c r="D401" s="10" t="str">
        <f>"0x"&amp;DEC2HEX(HEX2DEC(D$1)+SUM($C$2:C401))</f>
        <v>0x4203A46E</v>
      </c>
    </row>
    <row r="402" spans="1:4" x14ac:dyDescent="0.2">
      <c r="B402" t="s">
        <v>1731</v>
      </c>
      <c r="C402">
        <v>6</v>
      </c>
      <c r="D402" s="10" t="str">
        <f>"0x"&amp;DEC2HEX(HEX2DEC(D$1)+SUM($C$2:C402))</f>
        <v>0x4203A474</v>
      </c>
    </row>
    <row r="403" spans="1:4" x14ac:dyDescent="0.2">
      <c r="B403" t="s">
        <v>1732</v>
      </c>
      <c r="C403">
        <v>6</v>
      </c>
      <c r="D403" s="10" t="str">
        <f>"0x"&amp;DEC2HEX(HEX2DEC(D$1)+SUM($C$2:C403))</f>
        <v>0x4203A47A</v>
      </c>
    </row>
    <row r="404" spans="1:4" x14ac:dyDescent="0.2">
      <c r="B404" t="s">
        <v>1733</v>
      </c>
      <c r="C404">
        <v>108</v>
      </c>
      <c r="D404" s="10" t="str">
        <f>"0x"&amp;DEC2HEX(HEX2DEC(D$1)+SUM($C$2:C404))</f>
        <v>0x4203A4E6</v>
      </c>
    </row>
    <row r="405" spans="1:4" x14ac:dyDescent="0.2">
      <c r="B405" t="s">
        <v>1734</v>
      </c>
      <c r="C405">
        <v>46</v>
      </c>
      <c r="D405" s="10" t="str">
        <f>"0x"&amp;DEC2HEX(HEX2DEC(D$1)+SUM($C$2:C405))</f>
        <v>0x4203A514</v>
      </c>
    </row>
    <row r="406" spans="1:4" x14ac:dyDescent="0.2">
      <c r="B406" t="s">
        <v>1735</v>
      </c>
      <c r="C406">
        <v>28</v>
      </c>
      <c r="D406" s="10" t="str">
        <f>"0x"&amp;DEC2HEX(HEX2DEC(D$1)+SUM($C$2:C406))</f>
        <v>0x4203A530</v>
      </c>
    </row>
    <row r="407" spans="1:4" x14ac:dyDescent="0.2">
      <c r="B407" t="s">
        <v>1736</v>
      </c>
      <c r="C407">
        <v>34</v>
      </c>
      <c r="D407" s="10" t="str">
        <f>"0x"&amp;DEC2HEX(HEX2DEC(D$1)+SUM($C$2:C407))</f>
        <v>0x4203A552</v>
      </c>
    </row>
    <row r="408" spans="1:4" x14ac:dyDescent="0.2">
      <c r="B408" t="s">
        <v>1737</v>
      </c>
      <c r="C408">
        <v>16</v>
      </c>
      <c r="D408" s="10" t="str">
        <f>"0x"&amp;DEC2HEX(HEX2DEC(D$1)+SUM($C$2:C408))</f>
        <v>0x4203A562</v>
      </c>
    </row>
    <row r="409" spans="1:4" x14ac:dyDescent="0.2">
      <c r="B409" t="s">
        <v>1738</v>
      </c>
      <c r="C409">
        <v>36</v>
      </c>
      <c r="D409" s="10" t="str">
        <f>"0x"&amp;DEC2HEX(HEX2DEC(D$1)+SUM($C$2:C409))</f>
        <v>0x4203A586</v>
      </c>
    </row>
    <row r="410" spans="1:4" x14ac:dyDescent="0.2">
      <c r="B410" t="s">
        <v>1739</v>
      </c>
      <c r="C410">
        <v>24</v>
      </c>
      <c r="D410" s="10" t="str">
        <f>"0x"&amp;DEC2HEX(HEX2DEC(D$1)+SUM($C$2:C410))</f>
        <v>0x4203A59E</v>
      </c>
    </row>
    <row r="411" spans="1:4" x14ac:dyDescent="0.2">
      <c r="A411" t="s">
        <v>1740</v>
      </c>
      <c r="D411" s="10"/>
    </row>
    <row r="412" spans="1:4" x14ac:dyDescent="0.2">
      <c r="B412" t="s">
        <v>1741</v>
      </c>
      <c r="C412">
        <v>10</v>
      </c>
      <c r="D412" s="10" t="str">
        <f>"0x"&amp;DEC2HEX(HEX2DEC(D$1)+SUM($C$2:C412))</f>
        <v>0x4203A5A8</v>
      </c>
    </row>
    <row r="413" spans="1:4" x14ac:dyDescent="0.2">
      <c r="B413" t="s">
        <v>1742</v>
      </c>
      <c r="C413">
        <v>24</v>
      </c>
      <c r="D413" s="10" t="str">
        <f>"0x"&amp;DEC2HEX(HEX2DEC(D$1)+SUM($C$2:C413))</f>
        <v>0x4203A5C0</v>
      </c>
    </row>
    <row r="414" spans="1:4" x14ac:dyDescent="0.2">
      <c r="A414" t="s">
        <v>1743</v>
      </c>
      <c r="D414" s="10"/>
    </row>
    <row r="415" spans="1:4" x14ac:dyDescent="0.2">
      <c r="A415" t="s">
        <v>1744</v>
      </c>
      <c r="D415" s="10"/>
    </row>
    <row r="416" spans="1:4" x14ac:dyDescent="0.2">
      <c r="B416" t="s">
        <v>1745</v>
      </c>
      <c r="C416">
        <v>10</v>
      </c>
      <c r="D416" s="10" t="str">
        <f>"0x"&amp;DEC2HEX(HEX2DEC(D$1)+SUM($C$2:C416))</f>
        <v>0x4203A5CA</v>
      </c>
    </row>
    <row r="417" spans="2:4" x14ac:dyDescent="0.2">
      <c r="B417" t="s">
        <v>1746</v>
      </c>
      <c r="C417">
        <v>10</v>
      </c>
      <c r="D417" s="10" t="str">
        <f>"0x"&amp;DEC2HEX(HEX2DEC(D$1)+SUM($C$2:C417))</f>
        <v>0x4203A5D4</v>
      </c>
    </row>
    <row r="418" spans="2:4" x14ac:dyDescent="0.2">
      <c r="B418" t="s">
        <v>1747</v>
      </c>
      <c r="C418">
        <v>494</v>
      </c>
      <c r="D418" s="10" t="str">
        <f>"0x"&amp;DEC2HEX(HEX2DEC(D$1)+SUM($C$2:C418))</f>
        <v>0x4203A7C2</v>
      </c>
    </row>
    <row r="419" spans="2:4" x14ac:dyDescent="0.2">
      <c r="B419" t="s">
        <v>1748</v>
      </c>
      <c r="C419">
        <v>130</v>
      </c>
      <c r="D419" s="10" t="str">
        <f>"0x"&amp;DEC2HEX(HEX2DEC(D$1)+SUM($C$2:C419))</f>
        <v>0x4203A844</v>
      </c>
    </row>
    <row r="420" spans="2:4" x14ac:dyDescent="0.2">
      <c r="B420" t="s">
        <v>1749</v>
      </c>
      <c r="C420">
        <v>38</v>
      </c>
      <c r="D420" s="10" t="str">
        <f>"0x"&amp;DEC2HEX(HEX2DEC(D$1)+SUM($C$2:C420))</f>
        <v>0x4203A86A</v>
      </c>
    </row>
    <row r="421" spans="2:4" x14ac:dyDescent="0.2">
      <c r="B421" t="s">
        <v>1750</v>
      </c>
      <c r="C421">
        <v>56</v>
      </c>
      <c r="D421" s="10" t="str">
        <f>"0x"&amp;DEC2HEX(HEX2DEC(D$1)+SUM($C$2:C421))</f>
        <v>0x4203A8A2</v>
      </c>
    </row>
    <row r="422" spans="2:4" x14ac:dyDescent="0.2">
      <c r="B422" t="s">
        <v>1751</v>
      </c>
      <c r="C422">
        <v>74</v>
      </c>
      <c r="D422" s="10" t="str">
        <f>"0x"&amp;DEC2HEX(HEX2DEC(D$1)+SUM($C$2:C422))</f>
        <v>0x4203A8EC</v>
      </c>
    </row>
    <row r="423" spans="2:4" x14ac:dyDescent="0.2">
      <c r="B423" t="s">
        <v>1752</v>
      </c>
      <c r="C423">
        <v>204</v>
      </c>
      <c r="D423" s="10" t="str">
        <f>"0x"&amp;DEC2HEX(HEX2DEC(D$1)+SUM($C$2:C423))</f>
        <v>0x4203A9B8</v>
      </c>
    </row>
    <row r="424" spans="2:4" x14ac:dyDescent="0.2">
      <c r="B424" t="s">
        <v>1753</v>
      </c>
      <c r="C424">
        <v>142</v>
      </c>
      <c r="D424" s="10" t="str">
        <f>"0x"&amp;DEC2HEX(HEX2DEC(D$1)+SUM($C$2:C424))</f>
        <v>0x4203AA46</v>
      </c>
    </row>
    <row r="425" spans="2:4" x14ac:dyDescent="0.2">
      <c r="B425" t="s">
        <v>1754</v>
      </c>
      <c r="C425">
        <v>154</v>
      </c>
      <c r="D425" s="10" t="str">
        <f>"0x"&amp;DEC2HEX(HEX2DEC(D$1)+SUM($C$2:C425))</f>
        <v>0x4203AAE0</v>
      </c>
    </row>
    <row r="426" spans="2:4" x14ac:dyDescent="0.2">
      <c r="B426" t="s">
        <v>1755</v>
      </c>
      <c r="C426">
        <v>14</v>
      </c>
      <c r="D426" s="10" t="str">
        <f>"0x"&amp;DEC2HEX(HEX2DEC(D$1)+SUM($C$2:C426))</f>
        <v>0x4203AAEE</v>
      </c>
    </row>
    <row r="427" spans="2:4" x14ac:dyDescent="0.2">
      <c r="B427" t="s">
        <v>1756</v>
      </c>
      <c r="C427">
        <v>14</v>
      </c>
      <c r="D427" s="10" t="str">
        <f>"0x"&amp;DEC2HEX(HEX2DEC(D$1)+SUM($C$2:C427))</f>
        <v>0x4203AAFC</v>
      </c>
    </row>
    <row r="428" spans="2:4" x14ac:dyDescent="0.2">
      <c r="B428" t="s">
        <v>1757</v>
      </c>
      <c r="C428">
        <v>14</v>
      </c>
      <c r="D428" s="10" t="str">
        <f>"0x"&amp;DEC2HEX(HEX2DEC(D$1)+SUM($C$2:C428))</f>
        <v>0x4203AB0A</v>
      </c>
    </row>
    <row r="429" spans="2:4" x14ac:dyDescent="0.2">
      <c r="B429" t="s">
        <v>1758</v>
      </c>
      <c r="C429">
        <v>12</v>
      </c>
      <c r="D429" s="10" t="str">
        <f>"0x"&amp;DEC2HEX(HEX2DEC(D$1)+SUM($C$2:C429))</f>
        <v>0x4203AB16</v>
      </c>
    </row>
    <row r="430" spans="2:4" x14ac:dyDescent="0.2">
      <c r="B430" t="s">
        <v>1759</v>
      </c>
      <c r="C430">
        <v>140</v>
      </c>
      <c r="D430" s="10" t="str">
        <f>"0x"&amp;DEC2HEX(HEX2DEC(D$1)+SUM($C$2:C430))</f>
        <v>0x4203ABA2</v>
      </c>
    </row>
    <row r="431" spans="2:4" x14ac:dyDescent="0.2">
      <c r="B431" t="s">
        <v>1760</v>
      </c>
      <c r="C431">
        <v>38</v>
      </c>
      <c r="D431" s="10" t="str">
        <f>"0x"&amp;DEC2HEX(HEX2DEC(D$1)+SUM($C$2:C431))</f>
        <v>0x4203ABC8</v>
      </c>
    </row>
    <row r="432" spans="2:4" x14ac:dyDescent="0.2">
      <c r="B432" t="s">
        <v>1761</v>
      </c>
      <c r="C432">
        <v>502</v>
      </c>
      <c r="D432" s="10" t="str">
        <f>"0x"&amp;DEC2HEX(HEX2DEC(D$1)+SUM($C$2:C432))</f>
        <v>0x4203ADBE</v>
      </c>
    </row>
    <row r="433" spans="2:4" x14ac:dyDescent="0.2">
      <c r="B433" t="s">
        <v>1762</v>
      </c>
      <c r="C433">
        <v>380</v>
      </c>
      <c r="D433" s="10" t="str">
        <f>"0x"&amp;DEC2HEX(HEX2DEC(D$1)+SUM($C$2:C433))</f>
        <v>0x4203AF3A</v>
      </c>
    </row>
    <row r="434" spans="2:4" x14ac:dyDescent="0.2">
      <c r="B434" t="s">
        <v>1763</v>
      </c>
      <c r="C434">
        <v>150</v>
      </c>
      <c r="D434" s="10" t="str">
        <f>"0x"&amp;DEC2HEX(HEX2DEC(D$1)+SUM($C$2:C434))</f>
        <v>0x4203AFD0</v>
      </c>
    </row>
    <row r="435" spans="2:4" x14ac:dyDescent="0.2">
      <c r="B435" t="s">
        <v>1764</v>
      </c>
      <c r="C435">
        <v>16</v>
      </c>
      <c r="D435" s="10" t="str">
        <f>"0x"&amp;DEC2HEX(HEX2DEC(D$1)+SUM($C$2:C435))</f>
        <v>0x4203AFE0</v>
      </c>
    </row>
    <row r="436" spans="2:4" x14ac:dyDescent="0.2">
      <c r="B436" t="s">
        <v>1765</v>
      </c>
      <c r="C436">
        <v>12</v>
      </c>
      <c r="D436" s="10" t="str">
        <f>"0x"&amp;DEC2HEX(HEX2DEC(D$1)+SUM($C$2:C436))</f>
        <v>0x4203AFEC</v>
      </c>
    </row>
    <row r="437" spans="2:4" x14ac:dyDescent="0.2">
      <c r="B437" t="s">
        <v>1766</v>
      </c>
      <c r="C437">
        <v>28</v>
      </c>
      <c r="D437" s="10" t="str">
        <f>"0x"&amp;DEC2HEX(HEX2DEC(D$1)+SUM($C$2:C437))</f>
        <v>0x4203B008</v>
      </c>
    </row>
    <row r="438" spans="2:4" x14ac:dyDescent="0.2">
      <c r="B438" t="s">
        <v>1767</v>
      </c>
      <c r="C438">
        <v>1170</v>
      </c>
      <c r="D438" s="10" t="str">
        <f>"0x"&amp;DEC2HEX(HEX2DEC(D$1)+SUM($C$2:C438))</f>
        <v>0x4203B49A</v>
      </c>
    </row>
    <row r="439" spans="2:4" x14ac:dyDescent="0.2">
      <c r="B439" t="s">
        <v>1768</v>
      </c>
      <c r="C439">
        <v>460</v>
      </c>
      <c r="D439" s="10" t="str">
        <f>"0x"&amp;DEC2HEX(HEX2DEC(D$1)+SUM($C$2:C439))</f>
        <v>0x4203B666</v>
      </c>
    </row>
    <row r="440" spans="2:4" x14ac:dyDescent="0.2">
      <c r="B440" t="s">
        <v>1769</v>
      </c>
      <c r="C440">
        <v>38</v>
      </c>
      <c r="D440" s="10" t="str">
        <f>"0x"&amp;DEC2HEX(HEX2DEC(D$1)+SUM($C$2:C440))</f>
        <v>0x4203B68C</v>
      </c>
    </row>
    <row r="441" spans="2:4" x14ac:dyDescent="0.2">
      <c r="B441" t="s">
        <v>1770</v>
      </c>
      <c r="C441">
        <v>1328</v>
      </c>
      <c r="D441" s="10" t="str">
        <f>"0x"&amp;DEC2HEX(HEX2DEC(D$1)+SUM($C$2:C441))</f>
        <v>0x4203BBBC</v>
      </c>
    </row>
    <row r="442" spans="2:4" x14ac:dyDescent="0.2">
      <c r="B442" t="s">
        <v>1771</v>
      </c>
      <c r="C442">
        <v>82</v>
      </c>
      <c r="D442" s="10" t="str">
        <f>"0x"&amp;DEC2HEX(HEX2DEC(D$1)+SUM($C$2:C442))</f>
        <v>0x4203BC0E</v>
      </c>
    </row>
    <row r="443" spans="2:4" x14ac:dyDescent="0.2">
      <c r="B443" t="s">
        <v>1772</v>
      </c>
      <c r="C443">
        <v>122</v>
      </c>
      <c r="D443" s="10" t="str">
        <f>"0x"&amp;DEC2HEX(HEX2DEC(D$1)+SUM($C$2:C443))</f>
        <v>0x4203BC88</v>
      </c>
    </row>
    <row r="444" spans="2:4" x14ac:dyDescent="0.2">
      <c r="B444" t="s">
        <v>1773</v>
      </c>
      <c r="C444">
        <v>594</v>
      </c>
      <c r="D444" s="10" t="str">
        <f>"0x"&amp;DEC2HEX(HEX2DEC(D$1)+SUM($C$2:C444))</f>
        <v>0x4203BEDA</v>
      </c>
    </row>
    <row r="445" spans="2:4" x14ac:dyDescent="0.2">
      <c r="B445" t="s">
        <v>1774</v>
      </c>
      <c r="C445">
        <v>500</v>
      </c>
      <c r="D445" s="10" t="str">
        <f>"0x"&amp;DEC2HEX(HEX2DEC(D$1)+SUM($C$2:C445))</f>
        <v>0x4203C0CE</v>
      </c>
    </row>
    <row r="446" spans="2:4" x14ac:dyDescent="0.2">
      <c r="B446" t="s">
        <v>1775</v>
      </c>
      <c r="C446">
        <v>36</v>
      </c>
      <c r="D446" s="10" t="str">
        <f>"0x"&amp;DEC2HEX(HEX2DEC(D$1)+SUM($C$2:C446))</f>
        <v>0x4203C0F2</v>
      </c>
    </row>
    <row r="447" spans="2:4" x14ac:dyDescent="0.2">
      <c r="B447" t="s">
        <v>1776</v>
      </c>
      <c r="C447">
        <v>148</v>
      </c>
      <c r="D447" s="10" t="str">
        <f>"0x"&amp;DEC2HEX(HEX2DEC(D$1)+SUM($C$2:C447))</f>
        <v>0x4203C186</v>
      </c>
    </row>
    <row r="448" spans="2:4" x14ac:dyDescent="0.2">
      <c r="B448" t="s">
        <v>1777</v>
      </c>
      <c r="C448">
        <v>454</v>
      </c>
      <c r="D448" s="10" t="str">
        <f>"0x"&amp;DEC2HEX(HEX2DEC(D$1)+SUM($C$2:C448))</f>
        <v>0x4203C34C</v>
      </c>
    </row>
    <row r="449" spans="1:6" x14ac:dyDescent="0.2">
      <c r="B449" t="s">
        <v>1778</v>
      </c>
      <c r="C449">
        <v>394</v>
      </c>
      <c r="D449" s="10" t="str">
        <f>"0x"&amp;DEC2HEX(HEX2DEC(D$1)+SUM($C$2:C449))</f>
        <v>0x4203C4D6</v>
      </c>
    </row>
    <row r="450" spans="1:6" x14ac:dyDescent="0.2">
      <c r="B450" t="s">
        <v>1779</v>
      </c>
      <c r="C450">
        <v>114</v>
      </c>
      <c r="D450" s="10" t="str">
        <f>"0x"&amp;DEC2HEX(HEX2DEC(D$1)+SUM($C$2:C450))</f>
        <v>0x4203C548</v>
      </c>
    </row>
    <row r="451" spans="1:6" x14ac:dyDescent="0.2">
      <c r="B451" t="s">
        <v>1780</v>
      </c>
      <c r="C451">
        <v>134</v>
      </c>
      <c r="D451" s="10" t="str">
        <f>"0x"&amp;DEC2HEX(HEX2DEC(D$1)+SUM($C$2:C451))</f>
        <v>0x4203C5CE</v>
      </c>
    </row>
    <row r="452" spans="1:6" x14ac:dyDescent="0.2">
      <c r="B452" t="s">
        <v>1781</v>
      </c>
      <c r="C452">
        <v>40</v>
      </c>
      <c r="D452" s="10" t="str">
        <f>"0x"&amp;DEC2HEX(HEX2DEC(D$1)+SUM($C$2:C452))</f>
        <v>0x4203C5F6</v>
      </c>
    </row>
    <row r="453" spans="1:6" x14ac:dyDescent="0.2">
      <c r="B453" t="s">
        <v>1782</v>
      </c>
      <c r="C453">
        <v>150</v>
      </c>
      <c r="D453" s="10" t="str">
        <f>"0x"&amp;DEC2HEX(HEX2DEC(D$1)+SUM($C$2:C453))</f>
        <v>0x4203C68C</v>
      </c>
    </row>
    <row r="454" spans="1:6" x14ac:dyDescent="0.2">
      <c r="B454" t="s">
        <v>1783</v>
      </c>
      <c r="C454">
        <v>166</v>
      </c>
      <c r="D454" s="10" t="str">
        <f>"0x"&amp;DEC2HEX(HEX2DEC(D$1)+SUM($C$2:C454))</f>
        <v>0x4203C732</v>
      </c>
    </row>
    <row r="455" spans="1:6" x14ac:dyDescent="0.2">
      <c r="B455" t="s">
        <v>1784</v>
      </c>
      <c r="C455">
        <v>3006</v>
      </c>
      <c r="D455" s="10" t="str">
        <f>"0x"&amp;DEC2HEX(HEX2DEC(D$1)+SUM($C$2:C455))</f>
        <v>0x4203D2F0</v>
      </c>
    </row>
    <row r="456" spans="1:6" x14ac:dyDescent="0.2">
      <c r="A456" t="s">
        <v>63</v>
      </c>
      <c r="D456" s="10"/>
    </row>
    <row r="457" spans="1:6" x14ac:dyDescent="0.2">
      <c r="B457" t="s">
        <v>1480</v>
      </c>
      <c r="D457" s="10" t="str">
        <f>"0x"&amp;DEC2HEX(HEX2DEC(D$1)+SUM($C$2:C457))</f>
        <v>0x4203D2F0</v>
      </c>
      <c r="F457" t="s">
        <v>1786</v>
      </c>
    </row>
    <row r="458" spans="1:6" x14ac:dyDescent="0.2">
      <c r="B458" t="s">
        <v>1787</v>
      </c>
      <c r="C458">
        <v>206</v>
      </c>
      <c r="D458" s="10" t="str">
        <f>"0x"&amp;DEC2HEX(HEX2DEC(D$1)+SUM($C$2:C458))</f>
        <v>0x4203D3BE</v>
      </c>
    </row>
    <row r="459" spans="1:6" x14ac:dyDescent="0.2">
      <c r="B459" t="s">
        <v>1788</v>
      </c>
      <c r="C459">
        <v>10</v>
      </c>
      <c r="D459" s="10" t="str">
        <f>"0x"&amp;DEC2HEX(HEX2DEC(D$1)+SUM($C$2:C459))</f>
        <v>0x4203D3C8</v>
      </c>
    </row>
    <row r="460" spans="1:6" x14ac:dyDescent="0.2">
      <c r="B460" t="s">
        <v>1789</v>
      </c>
      <c r="C460">
        <v>10</v>
      </c>
      <c r="D460" s="10" t="str">
        <f>"0x"&amp;DEC2HEX(HEX2DEC(D$1)+SUM($C$2:C460))</f>
        <v>0x4203D3D2</v>
      </c>
    </row>
    <row r="461" spans="1:6" x14ac:dyDescent="0.2">
      <c r="B461" t="s">
        <v>1790</v>
      </c>
      <c r="C461">
        <v>10</v>
      </c>
      <c r="D461" s="10" t="str">
        <f>"0x"&amp;DEC2HEX(HEX2DEC(D$1)+SUM($C$2:C461))</f>
        <v>0x4203D3DC</v>
      </c>
    </row>
    <row r="462" spans="1:6" x14ac:dyDescent="0.2">
      <c r="B462" t="s">
        <v>1791</v>
      </c>
      <c r="C462">
        <v>24</v>
      </c>
      <c r="D462" s="10" t="str">
        <f>"0x"&amp;DEC2HEX(HEX2DEC(D$1)+SUM($C$2:C462))</f>
        <v>0x4203D3F4</v>
      </c>
    </row>
    <row r="463" spans="1:6" x14ac:dyDescent="0.2">
      <c r="B463" t="s">
        <v>1792</v>
      </c>
      <c r="C463">
        <v>10</v>
      </c>
      <c r="D463" s="10" t="str">
        <f>"0x"&amp;DEC2HEX(HEX2DEC(D$1)+SUM($C$2:C463))</f>
        <v>0x4203D3FE</v>
      </c>
    </row>
    <row r="464" spans="1:6" x14ac:dyDescent="0.2">
      <c r="B464" t="s">
        <v>1793</v>
      </c>
      <c r="C464">
        <v>66</v>
      </c>
      <c r="D464" s="10" t="str">
        <f>"0x"&amp;DEC2HEX(HEX2DEC(D$1)+SUM($C$2:C464))</f>
        <v>0x4203D440</v>
      </c>
    </row>
    <row r="465" spans="2:4" x14ac:dyDescent="0.2">
      <c r="B465" t="s">
        <v>1794</v>
      </c>
      <c r="C465">
        <v>52</v>
      </c>
      <c r="D465" s="10" t="str">
        <f>"0x"&amp;DEC2HEX(HEX2DEC(D$1)+SUM($C$2:C465))</f>
        <v>0x4203D474</v>
      </c>
    </row>
    <row r="466" spans="2:4" x14ac:dyDescent="0.2">
      <c r="B466" t="s">
        <v>1795</v>
      </c>
      <c r="C466">
        <v>168</v>
      </c>
      <c r="D466" s="10" t="str">
        <f>"0x"&amp;DEC2HEX(HEX2DEC(D$1)+SUM($C$2:C466))</f>
        <v>0x4203D51C</v>
      </c>
    </row>
    <row r="467" spans="2:4" x14ac:dyDescent="0.2">
      <c r="B467" t="s">
        <v>1796</v>
      </c>
      <c r="C467">
        <v>614</v>
      </c>
      <c r="D467" s="10" t="str">
        <f>"0x"&amp;DEC2HEX(HEX2DEC(D$1)+SUM($C$2:C467))</f>
        <v>0x4203D782</v>
      </c>
    </row>
    <row r="468" spans="2:4" x14ac:dyDescent="0.2">
      <c r="B468" t="s">
        <v>1797</v>
      </c>
      <c r="C468">
        <v>40</v>
      </c>
      <c r="D468" s="10" t="str">
        <f>"0x"&amp;DEC2HEX(HEX2DEC(D$1)+SUM($C$2:C468))</f>
        <v>0x4203D7AA</v>
      </c>
    </row>
    <row r="469" spans="2:4" x14ac:dyDescent="0.2">
      <c r="B469" t="s">
        <v>1798</v>
      </c>
      <c r="C469">
        <v>20</v>
      </c>
      <c r="D469" s="10" t="str">
        <f>"0x"&amp;DEC2HEX(HEX2DEC(D$1)+SUM($C$2:C469))</f>
        <v>0x4203D7BE</v>
      </c>
    </row>
    <row r="470" spans="2:4" x14ac:dyDescent="0.2">
      <c r="B470" t="s">
        <v>1799</v>
      </c>
      <c r="C470">
        <v>14</v>
      </c>
      <c r="D470" s="10" t="str">
        <f>"0x"&amp;DEC2HEX(HEX2DEC(D$1)+SUM($C$2:C470))</f>
        <v>0x4203D7CC</v>
      </c>
    </row>
    <row r="471" spans="2:4" x14ac:dyDescent="0.2">
      <c r="B471" t="s">
        <v>1800</v>
      </c>
      <c r="C471">
        <v>192</v>
      </c>
      <c r="D471" s="10" t="str">
        <f>"0x"&amp;DEC2HEX(HEX2DEC(D$1)+SUM($C$2:C471))</f>
        <v>0x4203D88C</v>
      </c>
    </row>
    <row r="472" spans="2:4" x14ac:dyDescent="0.2">
      <c r="B472" t="s">
        <v>1801</v>
      </c>
      <c r="C472">
        <v>150</v>
      </c>
      <c r="D472" s="10" t="str">
        <f>"0x"&amp;DEC2HEX(HEX2DEC(D$1)+SUM($C$2:C472))</f>
        <v>0x4203D922</v>
      </c>
    </row>
    <row r="473" spans="2:4" x14ac:dyDescent="0.2">
      <c r="B473" t="s">
        <v>1802</v>
      </c>
      <c r="C473">
        <v>130</v>
      </c>
      <c r="D473" s="10" t="str">
        <f>"0x"&amp;DEC2HEX(HEX2DEC(D$1)+SUM($C$2:C473))</f>
        <v>0x4203D9A4</v>
      </c>
    </row>
    <row r="474" spans="2:4" x14ac:dyDescent="0.2">
      <c r="B474" t="s">
        <v>1803</v>
      </c>
      <c r="C474">
        <v>30</v>
      </c>
      <c r="D474" s="10" t="str">
        <f>"0x"&amp;DEC2HEX(HEX2DEC(D$1)+SUM($C$2:C474))</f>
        <v>0x4203D9C2</v>
      </c>
    </row>
    <row r="475" spans="2:4" x14ac:dyDescent="0.2">
      <c r="B475" t="s">
        <v>1804</v>
      </c>
      <c r="C475">
        <v>14</v>
      </c>
      <c r="D475" s="10" t="str">
        <f>"0x"&amp;DEC2HEX(HEX2DEC(D$1)+SUM($C$2:C475))</f>
        <v>0x4203D9D0</v>
      </c>
    </row>
    <row r="476" spans="2:4" x14ac:dyDescent="0.2">
      <c r="B476" t="s">
        <v>1805</v>
      </c>
      <c r="C476">
        <v>14</v>
      </c>
      <c r="D476" s="10" t="str">
        <f>"0x"&amp;DEC2HEX(HEX2DEC(D$1)+SUM($C$2:C476))</f>
        <v>0x4203D9DE</v>
      </c>
    </row>
    <row r="477" spans="2:4" x14ac:dyDescent="0.2">
      <c r="B477" t="s">
        <v>1806</v>
      </c>
      <c r="C477">
        <v>14</v>
      </c>
      <c r="D477" s="10" t="str">
        <f>"0x"&amp;DEC2HEX(HEX2DEC(D$1)+SUM($C$2:C477))</f>
        <v>0x4203D9EC</v>
      </c>
    </row>
    <row r="478" spans="2:4" x14ac:dyDescent="0.2">
      <c r="B478" t="s">
        <v>1807</v>
      </c>
      <c r="C478">
        <v>108</v>
      </c>
      <c r="D478" s="10" t="str">
        <f>"0x"&amp;DEC2HEX(HEX2DEC(D$1)+SUM($C$2:C478))</f>
        <v>0x4203DA58</v>
      </c>
    </row>
    <row r="479" spans="2:4" x14ac:dyDescent="0.2">
      <c r="B479" t="s">
        <v>1808</v>
      </c>
      <c r="C479">
        <v>2704</v>
      </c>
      <c r="D479" s="10" t="str">
        <f>"0x"&amp;DEC2HEX(HEX2DEC(D$1)+SUM($C$2:C479))</f>
        <v>0x4203E4E8</v>
      </c>
    </row>
    <row r="480" spans="2:4" x14ac:dyDescent="0.2">
      <c r="B480" t="s">
        <v>1809</v>
      </c>
      <c r="C480">
        <v>230</v>
      </c>
      <c r="D480" s="10" t="str">
        <f>"0x"&amp;DEC2HEX(HEX2DEC(D$1)+SUM($C$2:C480))</f>
        <v>0x4203E5CE</v>
      </c>
    </row>
    <row r="481" spans="1:4" x14ac:dyDescent="0.2">
      <c r="B481" t="s">
        <v>1810</v>
      </c>
      <c r="C481">
        <v>370</v>
      </c>
      <c r="D481" s="10" t="str">
        <f>"0x"&amp;DEC2HEX(HEX2DEC(D$1)+SUM($C$2:C481))</f>
        <v>0x4203E740</v>
      </c>
    </row>
    <row r="482" spans="1:4" x14ac:dyDescent="0.2">
      <c r="B482" t="s">
        <v>1811</v>
      </c>
      <c r="C482">
        <v>350</v>
      </c>
      <c r="D482" s="10" t="str">
        <f>"0x"&amp;DEC2HEX(HEX2DEC(D$1)+SUM($C$2:C482))</f>
        <v>0x4203E89E</v>
      </c>
    </row>
    <row r="483" spans="1:4" x14ac:dyDescent="0.2">
      <c r="B483" t="s">
        <v>1812</v>
      </c>
      <c r="C483">
        <v>468</v>
      </c>
      <c r="D483" s="10" t="str">
        <f>"0x"&amp;DEC2HEX(HEX2DEC(D$1)+SUM($C$2:C483))</f>
        <v>0x4203EA72</v>
      </c>
    </row>
    <row r="484" spans="1:4" x14ac:dyDescent="0.2">
      <c r="B484" t="s">
        <v>1813</v>
      </c>
      <c r="C484">
        <v>208</v>
      </c>
      <c r="D484" s="10" t="str">
        <f>"0x"&amp;DEC2HEX(HEX2DEC(D$1)+SUM($C$2:C484))</f>
        <v>0x4203EB42</v>
      </c>
    </row>
    <row r="485" spans="1:4" x14ac:dyDescent="0.2">
      <c r="B485" t="s">
        <v>1814</v>
      </c>
      <c r="C485">
        <v>1724</v>
      </c>
      <c r="D485" s="10" t="str">
        <f>"0x"&amp;DEC2HEX(HEX2DEC(D$1)+SUM($C$2:C485))</f>
        <v>0x4203F1FE</v>
      </c>
    </row>
    <row r="486" spans="1:4" x14ac:dyDescent="0.2">
      <c r="B486" t="s">
        <v>1815</v>
      </c>
      <c r="C486">
        <v>152</v>
      </c>
      <c r="D486" s="10" t="str">
        <f>"0x"&amp;DEC2HEX(HEX2DEC(D$1)+SUM($C$2:C486))</f>
        <v>0x4203F296</v>
      </c>
    </row>
    <row r="487" spans="1:4" x14ac:dyDescent="0.2">
      <c r="B487" t="s">
        <v>1816</v>
      </c>
      <c r="C487">
        <v>390</v>
      </c>
      <c r="D487" s="10" t="str">
        <f>"0x"&amp;DEC2HEX(HEX2DEC(D$1)+SUM($C$2:C487))</f>
        <v>0x4203F41C</v>
      </c>
    </row>
    <row r="488" spans="1:4" x14ac:dyDescent="0.2">
      <c r="B488" t="s">
        <v>1817</v>
      </c>
      <c r="C488">
        <v>2858</v>
      </c>
      <c r="D488" s="10" t="str">
        <f>"0x"&amp;DEC2HEX(HEX2DEC(D$1)+SUM($C$2:C488))</f>
        <v>0x4203FF46</v>
      </c>
    </row>
    <row r="489" spans="1:4" x14ac:dyDescent="0.2">
      <c r="A489" t="s">
        <v>1818</v>
      </c>
      <c r="D489" s="10"/>
    </row>
    <row r="490" spans="1:4" x14ac:dyDescent="0.2">
      <c r="B490" t="s">
        <v>1819</v>
      </c>
      <c r="C490">
        <v>34</v>
      </c>
      <c r="D490" s="10" t="str">
        <f>"0x"&amp;DEC2HEX(HEX2DEC(D$1)+SUM($C$2:C490))</f>
        <v>0x4203FF68</v>
      </c>
    </row>
    <row r="491" spans="1:4" x14ac:dyDescent="0.2">
      <c r="B491" t="s">
        <v>1820</v>
      </c>
      <c r="C491">
        <v>40</v>
      </c>
      <c r="D491" s="10" t="str">
        <f>"0x"&amp;DEC2HEX(HEX2DEC(D$1)+SUM($C$2:C491))</f>
        <v>0x4203FF90</v>
      </c>
    </row>
    <row r="492" spans="1:4" x14ac:dyDescent="0.2">
      <c r="B492" t="s">
        <v>1821</v>
      </c>
      <c r="C492">
        <v>14</v>
      </c>
      <c r="D492" s="10" t="str">
        <f>"0x"&amp;DEC2HEX(HEX2DEC(D$1)+SUM($C$2:C492))</f>
        <v>0x4203FF9E</v>
      </c>
    </row>
    <row r="493" spans="1:4" x14ac:dyDescent="0.2">
      <c r="B493" t="s">
        <v>1822</v>
      </c>
      <c r="C493">
        <v>46</v>
      </c>
      <c r="D493" s="10" t="str">
        <f>"0x"&amp;DEC2HEX(HEX2DEC(D$1)+SUM($C$2:C493))</f>
        <v>0x4203FFCC</v>
      </c>
    </row>
    <row r="494" spans="1:4" x14ac:dyDescent="0.2">
      <c r="B494" t="s">
        <v>1823</v>
      </c>
      <c r="C494">
        <v>28</v>
      </c>
      <c r="D494" s="10" t="str">
        <f>"0x"&amp;DEC2HEX(HEX2DEC(D$1)+SUM($C$2:C494))</f>
        <v>0x4203FFE8</v>
      </c>
    </row>
    <row r="495" spans="1:4" x14ac:dyDescent="0.2">
      <c r="B495" t="s">
        <v>1824</v>
      </c>
      <c r="C495">
        <v>14</v>
      </c>
      <c r="D495" s="10" t="str">
        <f>"0x"&amp;DEC2HEX(HEX2DEC(D$1)+SUM($C$2:C495))</f>
        <v>0x4203FFF6</v>
      </c>
    </row>
    <row r="496" spans="1:4" x14ac:dyDescent="0.2">
      <c r="B496" t="s">
        <v>1825</v>
      </c>
      <c r="C496">
        <v>12</v>
      </c>
      <c r="D496" s="10" t="str">
        <f>"0x"&amp;DEC2HEX(HEX2DEC(D$1)+SUM($C$2:C496))</f>
        <v>0x42040002</v>
      </c>
    </row>
    <row r="497" spans="2:4" x14ac:dyDescent="0.2">
      <c r="B497" t="s">
        <v>1826</v>
      </c>
      <c r="C497">
        <v>14</v>
      </c>
      <c r="D497" s="10" t="str">
        <f>"0x"&amp;DEC2HEX(HEX2DEC(D$1)+SUM($C$2:C497))</f>
        <v>0x42040010</v>
      </c>
    </row>
    <row r="498" spans="2:4" x14ac:dyDescent="0.2">
      <c r="B498" t="s">
        <v>1827</v>
      </c>
      <c r="C498">
        <v>14</v>
      </c>
      <c r="D498" s="10" t="str">
        <f>"0x"&amp;DEC2HEX(HEX2DEC(D$1)+SUM($C$2:C498))</f>
        <v>0x4204001E</v>
      </c>
    </row>
    <row r="499" spans="2:4" x14ac:dyDescent="0.2">
      <c r="B499" t="s">
        <v>1828</v>
      </c>
      <c r="C499">
        <v>14</v>
      </c>
      <c r="D499" s="10" t="str">
        <f>"0x"&amp;DEC2HEX(HEX2DEC(D$1)+SUM($C$2:C499))</f>
        <v>0x4204002C</v>
      </c>
    </row>
    <row r="500" spans="2:4" x14ac:dyDescent="0.2">
      <c r="B500" t="s">
        <v>1829</v>
      </c>
      <c r="C500">
        <v>10</v>
      </c>
      <c r="D500" s="10" t="str">
        <f>"0x"&amp;DEC2HEX(HEX2DEC(D$1)+SUM($C$2:C500))</f>
        <v>0x42040036</v>
      </c>
    </row>
    <row r="501" spans="2:4" x14ac:dyDescent="0.2">
      <c r="B501" t="s">
        <v>1830</v>
      </c>
      <c r="C501">
        <v>54</v>
      </c>
      <c r="D501" s="10" t="str">
        <f>"0x"&amp;DEC2HEX(HEX2DEC(D$1)+SUM($C$2:C501))</f>
        <v>0x4204006C</v>
      </c>
    </row>
    <row r="502" spans="2:4" x14ac:dyDescent="0.2">
      <c r="B502" t="s">
        <v>1831</v>
      </c>
      <c r="C502">
        <v>66</v>
      </c>
      <c r="D502" s="10" t="str">
        <f>"0x"&amp;DEC2HEX(HEX2DEC(D$1)+SUM($C$2:C502))</f>
        <v>0x420400AE</v>
      </c>
    </row>
    <row r="503" spans="2:4" x14ac:dyDescent="0.2">
      <c r="B503" t="s">
        <v>1832</v>
      </c>
      <c r="C503">
        <v>38</v>
      </c>
      <c r="D503" s="10" t="str">
        <f>"0x"&amp;DEC2HEX(HEX2DEC(D$1)+SUM($C$2:C503))</f>
        <v>0x420400D4</v>
      </c>
    </row>
    <row r="504" spans="2:4" x14ac:dyDescent="0.2">
      <c r="B504" t="s">
        <v>1833</v>
      </c>
      <c r="C504">
        <v>84</v>
      </c>
      <c r="D504" s="10" t="str">
        <f>"0x"&amp;DEC2HEX(HEX2DEC(D$1)+SUM($C$2:C504))</f>
        <v>0x42040128</v>
      </c>
    </row>
    <row r="505" spans="2:4" x14ac:dyDescent="0.2">
      <c r="B505" t="s">
        <v>1834</v>
      </c>
      <c r="C505">
        <v>10</v>
      </c>
      <c r="D505" s="10" t="str">
        <f>"0x"&amp;DEC2HEX(HEX2DEC(D$1)+SUM($C$2:C505))</f>
        <v>0x42040132</v>
      </c>
    </row>
    <row r="506" spans="2:4" x14ac:dyDescent="0.2">
      <c r="B506" t="s">
        <v>1835</v>
      </c>
      <c r="C506">
        <v>46</v>
      </c>
      <c r="D506" s="10" t="str">
        <f>"0x"&amp;DEC2HEX(HEX2DEC(D$1)+SUM($C$2:C506))</f>
        <v>0x42040160</v>
      </c>
    </row>
    <row r="507" spans="2:4" x14ac:dyDescent="0.2">
      <c r="B507" t="s">
        <v>1836</v>
      </c>
      <c r="C507">
        <v>62</v>
      </c>
      <c r="D507" s="10" t="str">
        <f>"0x"&amp;DEC2HEX(HEX2DEC(D$1)+SUM($C$2:C507))</f>
        <v>0x4204019E</v>
      </c>
    </row>
    <row r="508" spans="2:4" x14ac:dyDescent="0.2">
      <c r="B508" t="s">
        <v>1837</v>
      </c>
      <c r="C508">
        <v>36</v>
      </c>
      <c r="D508" s="10" t="str">
        <f>"0x"&amp;DEC2HEX(HEX2DEC(D$1)+SUM($C$2:C508))</f>
        <v>0x420401C2</v>
      </c>
    </row>
    <row r="509" spans="2:4" x14ac:dyDescent="0.2">
      <c r="B509" t="s">
        <v>1838</v>
      </c>
      <c r="C509">
        <v>14</v>
      </c>
      <c r="D509" s="10" t="str">
        <f>"0x"&amp;DEC2HEX(HEX2DEC(D$1)+SUM($C$2:C509))</f>
        <v>0x420401D0</v>
      </c>
    </row>
    <row r="510" spans="2:4" x14ac:dyDescent="0.2">
      <c r="B510" t="s">
        <v>1839</v>
      </c>
      <c r="C510">
        <v>14</v>
      </c>
      <c r="D510" s="10" t="str">
        <f>"0x"&amp;DEC2HEX(HEX2DEC(D$1)+SUM($C$2:C510))</f>
        <v>0x420401DE</v>
      </c>
    </row>
    <row r="511" spans="2:4" x14ac:dyDescent="0.2">
      <c r="B511" t="s">
        <v>1840</v>
      </c>
      <c r="C511">
        <v>14</v>
      </c>
      <c r="D511" s="10" t="str">
        <f>"0x"&amp;DEC2HEX(HEX2DEC(D$1)+SUM($C$2:C511))</f>
        <v>0x420401EC</v>
      </c>
    </row>
    <row r="512" spans="2:4" x14ac:dyDescent="0.2">
      <c r="B512" t="s">
        <v>1841</v>
      </c>
      <c r="C512">
        <v>14</v>
      </c>
      <c r="D512" s="10" t="str">
        <f>"0x"&amp;DEC2HEX(HEX2DEC(D$1)+SUM($C$2:C512))</f>
        <v>0x420401FA</v>
      </c>
    </row>
    <row r="513" spans="2:4" x14ac:dyDescent="0.2">
      <c r="B513" t="s">
        <v>1842</v>
      </c>
      <c r="C513">
        <v>10</v>
      </c>
      <c r="D513" s="10" t="str">
        <f>"0x"&amp;DEC2HEX(HEX2DEC(D$1)+SUM($C$2:C513))</f>
        <v>0x42040204</v>
      </c>
    </row>
    <row r="514" spans="2:4" x14ac:dyDescent="0.2">
      <c r="B514" t="s">
        <v>1843</v>
      </c>
      <c r="C514">
        <v>12</v>
      </c>
      <c r="D514" s="10" t="str">
        <f>"0x"&amp;DEC2HEX(HEX2DEC(D$1)+SUM($C$2:C514))</f>
        <v>0x42040210</v>
      </c>
    </row>
    <row r="515" spans="2:4" x14ac:dyDescent="0.2">
      <c r="B515" t="s">
        <v>1844</v>
      </c>
      <c r="C515">
        <v>30</v>
      </c>
      <c r="D515" s="10" t="str">
        <f>"0x"&amp;DEC2HEX(HEX2DEC(D$1)+SUM($C$2:C515))</f>
        <v>0x4204022E</v>
      </c>
    </row>
    <row r="516" spans="2:4" x14ac:dyDescent="0.2">
      <c r="B516" t="s">
        <v>1845</v>
      </c>
      <c r="C516">
        <v>34</v>
      </c>
      <c r="D516" s="10" t="str">
        <f>"0x"&amp;DEC2HEX(HEX2DEC(D$1)+SUM($C$2:C516))</f>
        <v>0x42040250</v>
      </c>
    </row>
    <row r="517" spans="2:4" x14ac:dyDescent="0.2">
      <c r="B517" t="s">
        <v>1846</v>
      </c>
      <c r="C517">
        <v>16</v>
      </c>
      <c r="D517" s="10" t="str">
        <f>"0x"&amp;DEC2HEX(HEX2DEC(D$1)+SUM($C$2:C517))</f>
        <v>0x42040260</v>
      </c>
    </row>
    <row r="518" spans="2:4" x14ac:dyDescent="0.2">
      <c r="B518" t="s">
        <v>1847</v>
      </c>
      <c r="C518">
        <v>32</v>
      </c>
      <c r="D518" s="10" t="str">
        <f>"0x"&amp;DEC2HEX(HEX2DEC(D$1)+SUM($C$2:C518))</f>
        <v>0x42040280</v>
      </c>
    </row>
    <row r="519" spans="2:4" x14ac:dyDescent="0.2">
      <c r="B519" t="s">
        <v>1848</v>
      </c>
      <c r="C519">
        <v>10</v>
      </c>
      <c r="D519" s="10" t="str">
        <f>"0x"&amp;DEC2HEX(HEX2DEC(D$1)+SUM($C$2:C519))</f>
        <v>0x4204028A</v>
      </c>
    </row>
    <row r="520" spans="2:4" x14ac:dyDescent="0.2">
      <c r="B520" t="s">
        <v>1849</v>
      </c>
      <c r="C520">
        <v>10</v>
      </c>
      <c r="D520" s="10" t="str">
        <f>"0x"&amp;DEC2HEX(HEX2DEC(D$1)+SUM($C$2:C520))</f>
        <v>0x42040294</v>
      </c>
    </row>
    <row r="521" spans="2:4" x14ac:dyDescent="0.2">
      <c r="B521" t="s">
        <v>1850</v>
      </c>
      <c r="C521">
        <v>30</v>
      </c>
      <c r="D521" s="10" t="str">
        <f>"0x"&amp;DEC2HEX(HEX2DEC(D$1)+SUM($C$2:C521))</f>
        <v>0x420402B2</v>
      </c>
    </row>
    <row r="522" spans="2:4" x14ac:dyDescent="0.2">
      <c r="B522" t="s">
        <v>1851</v>
      </c>
      <c r="C522">
        <v>98</v>
      </c>
      <c r="D522" s="10" t="str">
        <f>"0x"&amp;DEC2HEX(HEX2DEC(D$1)+SUM($C$2:C522))</f>
        <v>0x42040314</v>
      </c>
    </row>
    <row r="523" spans="2:4" x14ac:dyDescent="0.2">
      <c r="B523" t="s">
        <v>1852</v>
      </c>
      <c r="C523">
        <v>24</v>
      </c>
      <c r="D523" s="10" t="str">
        <f>"0x"&amp;DEC2HEX(HEX2DEC(D$1)+SUM($C$2:C523))</f>
        <v>0x4204032C</v>
      </c>
    </row>
    <row r="524" spans="2:4" x14ac:dyDescent="0.2">
      <c r="B524" t="s">
        <v>1853</v>
      </c>
      <c r="C524">
        <v>72</v>
      </c>
      <c r="D524" s="10" t="str">
        <f>"0x"&amp;DEC2HEX(HEX2DEC(D$1)+SUM($C$2:C524))</f>
        <v>0x42040374</v>
      </c>
    </row>
    <row r="525" spans="2:4" x14ac:dyDescent="0.2">
      <c r="B525" t="s">
        <v>1854</v>
      </c>
      <c r="C525">
        <v>28</v>
      </c>
      <c r="D525" s="10" t="str">
        <f>"0x"&amp;DEC2HEX(HEX2DEC(D$1)+SUM($C$2:C525))</f>
        <v>0x42040390</v>
      </c>
    </row>
    <row r="526" spans="2:4" x14ac:dyDescent="0.2">
      <c r="B526" t="s">
        <v>1855</v>
      </c>
      <c r="C526">
        <v>58</v>
      </c>
      <c r="D526" s="10" t="str">
        <f>"0x"&amp;DEC2HEX(HEX2DEC(D$1)+SUM($C$2:C526))</f>
        <v>0x420403CA</v>
      </c>
    </row>
    <row r="527" spans="2:4" x14ac:dyDescent="0.2">
      <c r="B527" t="s">
        <v>1857</v>
      </c>
      <c r="C527">
        <v>16</v>
      </c>
      <c r="D527" s="10" t="str">
        <f>"0x"&amp;DEC2HEX(HEX2DEC(D$1)+SUM($C$2:C527))</f>
        <v>0x420403DA</v>
      </c>
    </row>
    <row r="528" spans="2:4" x14ac:dyDescent="0.2">
      <c r="B528" t="s">
        <v>1858</v>
      </c>
      <c r="C528">
        <v>52</v>
      </c>
      <c r="D528" s="10" t="str">
        <f>"0x"&amp;DEC2HEX(HEX2DEC(D$1)+SUM($C$2:C528))</f>
        <v>0x4204040E</v>
      </c>
    </row>
    <row r="529" spans="2:4" x14ac:dyDescent="0.2">
      <c r="B529" t="s">
        <v>1859</v>
      </c>
      <c r="C529">
        <v>28</v>
      </c>
      <c r="D529" s="10" t="str">
        <f>"0x"&amp;DEC2HEX(HEX2DEC(D$1)+SUM($C$2:C529))</f>
        <v>0x4204042A</v>
      </c>
    </row>
    <row r="530" spans="2:4" x14ac:dyDescent="0.2">
      <c r="B530" t="s">
        <v>1860</v>
      </c>
      <c r="C530">
        <v>16</v>
      </c>
      <c r="D530" s="10" t="str">
        <f>"0x"&amp;DEC2HEX(HEX2DEC(D$1)+SUM($C$2:C530))</f>
        <v>0x4204043A</v>
      </c>
    </row>
    <row r="531" spans="2:4" x14ac:dyDescent="0.2">
      <c r="B531" t="s">
        <v>1861</v>
      </c>
      <c r="C531">
        <v>18</v>
      </c>
      <c r="D531" s="10" t="str">
        <f>"0x"&amp;DEC2HEX(HEX2DEC(D$1)+SUM($C$2:C531))</f>
        <v>0x4204044C</v>
      </c>
    </row>
    <row r="532" spans="2:4" x14ac:dyDescent="0.2">
      <c r="B532" t="s">
        <v>1862</v>
      </c>
      <c r="C532">
        <v>56</v>
      </c>
      <c r="D532" s="10" t="str">
        <f>"0x"&amp;DEC2HEX(HEX2DEC(D$1)+SUM($C$2:C532))</f>
        <v>0x42040484</v>
      </c>
    </row>
    <row r="533" spans="2:4" x14ac:dyDescent="0.2">
      <c r="B533" t="s">
        <v>1863</v>
      </c>
      <c r="C533">
        <v>32</v>
      </c>
      <c r="D533" s="10" t="str">
        <f>"0x"&amp;DEC2HEX(HEX2DEC(D$1)+SUM($C$2:C533))</f>
        <v>0x420404A4</v>
      </c>
    </row>
    <row r="534" spans="2:4" x14ac:dyDescent="0.2">
      <c r="B534" t="s">
        <v>1864</v>
      </c>
      <c r="C534">
        <v>344</v>
      </c>
      <c r="D534" s="10" t="str">
        <f>"0x"&amp;DEC2HEX(HEX2DEC(D$1)+SUM($C$2:C534))</f>
        <v>0x420405FC</v>
      </c>
    </row>
    <row r="535" spans="2:4" x14ac:dyDescent="0.2">
      <c r="B535" t="s">
        <v>1865</v>
      </c>
      <c r="C535">
        <v>16</v>
      </c>
      <c r="D535" s="10" t="str">
        <f>"0x"&amp;DEC2HEX(HEX2DEC(D$1)+SUM($C$2:C535))</f>
        <v>0x4204060C</v>
      </c>
    </row>
    <row r="536" spans="2:4" x14ac:dyDescent="0.2">
      <c r="B536" t="s">
        <v>1866</v>
      </c>
      <c r="C536">
        <v>30</v>
      </c>
      <c r="D536" s="10" t="str">
        <f>"0x"&amp;DEC2HEX(HEX2DEC(D$1)+SUM($C$2:C536))</f>
        <v>0x4204062A</v>
      </c>
    </row>
    <row r="537" spans="2:4" x14ac:dyDescent="0.2">
      <c r="B537" t="s">
        <v>1867</v>
      </c>
      <c r="C537">
        <v>100</v>
      </c>
      <c r="D537" s="10" t="str">
        <f>"0x"&amp;DEC2HEX(HEX2DEC(D$1)+SUM($C$2:C537))</f>
        <v>0x4204068E</v>
      </c>
    </row>
    <row r="538" spans="2:4" x14ac:dyDescent="0.2">
      <c r="B538" t="s">
        <v>1868</v>
      </c>
      <c r="C538">
        <v>46</v>
      </c>
      <c r="D538" s="10" t="str">
        <f>"0x"&amp;DEC2HEX(HEX2DEC(D$1)+SUM($C$2:C538))</f>
        <v>0x420406BC</v>
      </c>
    </row>
    <row r="539" spans="2:4" x14ac:dyDescent="0.2">
      <c r="B539" t="s">
        <v>1869</v>
      </c>
      <c r="C539">
        <v>390</v>
      </c>
      <c r="D539" s="10" t="str">
        <f>"0x"&amp;DEC2HEX(HEX2DEC(D$1)+SUM($C$2:C539))</f>
        <v>0x42040842</v>
      </c>
    </row>
    <row r="540" spans="2:4" x14ac:dyDescent="0.2">
      <c r="B540" t="s">
        <v>1870</v>
      </c>
      <c r="C540">
        <v>350</v>
      </c>
      <c r="D540" s="10" t="str">
        <f>"0x"&amp;DEC2HEX(HEX2DEC(D$1)+SUM($C$2:C540))</f>
        <v>0x420409A0</v>
      </c>
    </row>
    <row r="541" spans="2:4" x14ac:dyDescent="0.2">
      <c r="B541" t="s">
        <v>1871</v>
      </c>
      <c r="C541">
        <v>100</v>
      </c>
      <c r="D541" s="10" t="str">
        <f>"0x"&amp;DEC2HEX(HEX2DEC(D$1)+SUM($C$2:C541))</f>
        <v>0x42040A04</v>
      </c>
    </row>
    <row r="542" spans="2:4" x14ac:dyDescent="0.2">
      <c r="B542" t="s">
        <v>1872</v>
      </c>
      <c r="C542">
        <v>92</v>
      </c>
      <c r="D542" s="10" t="str">
        <f>"0x"&amp;DEC2HEX(HEX2DEC(D$1)+SUM($C$2:C542))</f>
        <v>0x42040A60</v>
      </c>
    </row>
    <row r="543" spans="2:4" x14ac:dyDescent="0.2">
      <c r="B543" t="s">
        <v>1873</v>
      </c>
      <c r="C543">
        <v>118</v>
      </c>
      <c r="D543" s="10" t="str">
        <f>"0x"&amp;DEC2HEX(HEX2DEC(D$1)+SUM($C$2:C543))</f>
        <v>0x42040AD6</v>
      </c>
    </row>
    <row r="544" spans="2:4" x14ac:dyDescent="0.2">
      <c r="B544" t="s">
        <v>1874</v>
      </c>
      <c r="C544">
        <v>8</v>
      </c>
      <c r="D544" s="10" t="str">
        <f>"0x"&amp;DEC2HEX(HEX2DEC(D$1)+SUM($C$2:C544))</f>
        <v>0x42040ADE</v>
      </c>
    </row>
    <row r="545" spans="1:4" x14ac:dyDescent="0.2">
      <c r="B545" t="s">
        <v>1875</v>
      </c>
      <c r="C545">
        <v>10</v>
      </c>
      <c r="D545" s="10" t="str">
        <f>"0x"&amp;DEC2HEX(HEX2DEC(D$1)+SUM($C$2:C545))</f>
        <v>0x42040AE8</v>
      </c>
    </row>
    <row r="546" spans="1:4" x14ac:dyDescent="0.2">
      <c r="B546" t="s">
        <v>1876</v>
      </c>
      <c r="C546">
        <v>38</v>
      </c>
      <c r="D546" s="10" t="str">
        <f>"0x"&amp;DEC2HEX(HEX2DEC(D$1)+SUM($C$2:C546))</f>
        <v>0x42040B0E</v>
      </c>
    </row>
    <row r="547" spans="1:4" x14ac:dyDescent="0.2">
      <c r="B547" t="s">
        <v>1877</v>
      </c>
      <c r="C547">
        <v>222</v>
      </c>
      <c r="D547" s="10" t="str">
        <f>"0x"&amp;DEC2HEX(HEX2DEC(D$1)+SUM($C$2:C547))</f>
        <v>0x42040BEC</v>
      </c>
    </row>
    <row r="548" spans="1:4" x14ac:dyDescent="0.2">
      <c r="B548" t="s">
        <v>1878</v>
      </c>
      <c r="C548">
        <v>34</v>
      </c>
      <c r="D548" s="10" t="str">
        <f>"0x"&amp;DEC2HEX(HEX2DEC(D$1)+SUM($C$2:C548))</f>
        <v>0x42040C0E</v>
      </c>
    </row>
    <row r="549" spans="1:4" x14ac:dyDescent="0.2">
      <c r="B549" t="s">
        <v>1879</v>
      </c>
      <c r="C549">
        <v>78</v>
      </c>
      <c r="D549" s="10" t="str">
        <f>"0x"&amp;DEC2HEX(HEX2DEC(D$1)+SUM($C$2:C549))</f>
        <v>0x42040C5C</v>
      </c>
    </row>
    <row r="550" spans="1:4" x14ac:dyDescent="0.2">
      <c r="B550" t="s">
        <v>1880</v>
      </c>
      <c r="C550">
        <v>10</v>
      </c>
      <c r="D550" s="10" t="str">
        <f>"0x"&amp;DEC2HEX(HEX2DEC(D$1)+SUM($C$2:C550))</f>
        <v>0x42040C66</v>
      </c>
    </row>
    <row r="551" spans="1:4" x14ac:dyDescent="0.2">
      <c r="B551" t="s">
        <v>1881</v>
      </c>
      <c r="C551">
        <v>98</v>
      </c>
      <c r="D551" s="10" t="str">
        <f>"0x"&amp;DEC2HEX(HEX2DEC(D$1)+SUM($C$2:C551))</f>
        <v>0x42040CC8</v>
      </c>
    </row>
    <row r="552" spans="1:4" x14ac:dyDescent="0.2">
      <c r="B552" t="s">
        <v>1882</v>
      </c>
      <c r="C552">
        <v>152</v>
      </c>
      <c r="D552" s="10" t="str">
        <f>"0x"&amp;DEC2HEX(HEX2DEC(D$1)+SUM($C$2:C552))</f>
        <v>0x42040D60</v>
      </c>
    </row>
    <row r="553" spans="1:4" x14ac:dyDescent="0.2">
      <c r="B553" t="s">
        <v>1883</v>
      </c>
      <c r="C553">
        <v>56</v>
      </c>
      <c r="D553" s="10" t="str">
        <f>"0x"&amp;DEC2HEX(HEX2DEC(D$1)+SUM($C$2:C553))</f>
        <v>0x42040D98</v>
      </c>
    </row>
    <row r="554" spans="1:4" x14ac:dyDescent="0.2">
      <c r="A554" t="s">
        <v>1884</v>
      </c>
      <c r="D554" s="10"/>
    </row>
    <row r="555" spans="1:4" x14ac:dyDescent="0.2">
      <c r="B555" t="s">
        <v>1885</v>
      </c>
      <c r="C555">
        <v>18</v>
      </c>
      <c r="D555" s="10" t="str">
        <f>"0x"&amp;DEC2HEX(HEX2DEC(D$1)+SUM($C$2:C555))</f>
        <v>0x42040DAA</v>
      </c>
    </row>
    <row r="556" spans="1:4" x14ac:dyDescent="0.2">
      <c r="B556" t="s">
        <v>1886</v>
      </c>
      <c r="C556">
        <v>18</v>
      </c>
      <c r="D556" s="10" t="str">
        <f>"0x"&amp;DEC2HEX(HEX2DEC(D$1)+SUM($C$2:C556))</f>
        <v>0x42040DBC</v>
      </c>
    </row>
    <row r="557" spans="1:4" x14ac:dyDescent="0.2">
      <c r="B557" t="s">
        <v>1887</v>
      </c>
      <c r="C557">
        <v>18</v>
      </c>
      <c r="D557" s="10" t="str">
        <f>"0x"&amp;DEC2HEX(HEX2DEC(D$1)+SUM($C$2:C557))</f>
        <v>0x42040DCE</v>
      </c>
    </row>
    <row r="558" spans="1:4" x14ac:dyDescent="0.2">
      <c r="B558" t="s">
        <v>1888</v>
      </c>
      <c r="C558">
        <v>18</v>
      </c>
      <c r="D558" s="10" t="str">
        <f>"0x"&amp;DEC2HEX(HEX2DEC(D$1)+SUM($C$2:C558))</f>
        <v>0x42040DE0</v>
      </c>
    </row>
    <row r="559" spans="1:4" x14ac:dyDescent="0.2">
      <c r="B559" t="s">
        <v>1889</v>
      </c>
      <c r="C559">
        <v>18</v>
      </c>
      <c r="D559" s="10" t="str">
        <f>"0x"&amp;DEC2HEX(HEX2DEC(D$1)+SUM($C$2:C559))</f>
        <v>0x42040DF2</v>
      </c>
    </row>
    <row r="560" spans="1:4" x14ac:dyDescent="0.2">
      <c r="B560" t="s">
        <v>1890</v>
      </c>
      <c r="C560">
        <v>18</v>
      </c>
      <c r="D560" s="10" t="str">
        <f>"0x"&amp;DEC2HEX(HEX2DEC(D$1)+SUM($C$2:C560))</f>
        <v>0x42040E04</v>
      </c>
    </row>
    <row r="561" spans="2:4" x14ac:dyDescent="0.2">
      <c r="B561" t="s">
        <v>1891</v>
      </c>
      <c r="C561">
        <v>58</v>
      </c>
      <c r="D561" s="10" t="str">
        <f>"0x"&amp;DEC2HEX(HEX2DEC(D$1)+SUM($C$2:C561))</f>
        <v>0x42040E3E</v>
      </c>
    </row>
    <row r="562" spans="2:4" x14ac:dyDescent="0.2">
      <c r="B562" t="s">
        <v>1892</v>
      </c>
      <c r="C562">
        <v>58</v>
      </c>
      <c r="D562" s="10" t="str">
        <f>"0x"&amp;DEC2HEX(HEX2DEC(D$1)+SUM($C$2:C562))</f>
        <v>0x42040E78</v>
      </c>
    </row>
    <row r="563" spans="2:4" x14ac:dyDescent="0.2">
      <c r="B563" t="s">
        <v>1893</v>
      </c>
      <c r="C563">
        <v>56</v>
      </c>
      <c r="D563" s="10" t="str">
        <f>"0x"&amp;DEC2HEX(HEX2DEC(D$1)+SUM($C$2:C563))</f>
        <v>0x42040EB0</v>
      </c>
    </row>
    <row r="564" spans="2:4" x14ac:dyDescent="0.2">
      <c r="B564" t="s">
        <v>1894</v>
      </c>
      <c r="C564">
        <v>56</v>
      </c>
      <c r="D564" s="10" t="str">
        <f>"0x"&amp;DEC2HEX(HEX2DEC(D$1)+SUM($C$2:C564))</f>
        <v>0x42040EE8</v>
      </c>
    </row>
    <row r="565" spans="2:4" x14ac:dyDescent="0.2">
      <c r="B565" t="s">
        <v>1895</v>
      </c>
      <c r="C565">
        <v>56</v>
      </c>
      <c r="D565" s="10" t="str">
        <f>"0x"&amp;DEC2HEX(HEX2DEC(D$1)+SUM($C$2:C565))</f>
        <v>0x42040F20</v>
      </c>
    </row>
    <row r="566" spans="2:4" x14ac:dyDescent="0.2">
      <c r="B566" t="s">
        <v>1896</v>
      </c>
      <c r="C566">
        <v>56</v>
      </c>
      <c r="D566" s="10" t="str">
        <f>"0x"&amp;DEC2HEX(HEX2DEC(D$1)+SUM($C$2:C566))</f>
        <v>0x42040F58</v>
      </c>
    </row>
    <row r="567" spans="2:4" x14ac:dyDescent="0.2">
      <c r="B567" t="s">
        <v>1897</v>
      </c>
      <c r="C567">
        <v>56</v>
      </c>
      <c r="D567" s="10" t="str">
        <f>"0x"&amp;DEC2HEX(HEX2DEC(D$1)+SUM($C$2:C567))</f>
        <v>0x42040F90</v>
      </c>
    </row>
    <row r="568" spans="2:4" x14ac:dyDescent="0.2">
      <c r="B568" t="s">
        <v>1898</v>
      </c>
      <c r="C568">
        <v>56</v>
      </c>
      <c r="D568" s="10" t="str">
        <f>"0x"&amp;DEC2HEX(HEX2DEC(D$1)+SUM($C$2:C568))</f>
        <v>0x42040FC8</v>
      </c>
    </row>
    <row r="569" spans="2:4" x14ac:dyDescent="0.2">
      <c r="B569" t="s">
        <v>1899</v>
      </c>
      <c r="C569">
        <v>56</v>
      </c>
      <c r="D569" s="10" t="str">
        <f>"0x"&amp;DEC2HEX(HEX2DEC(D$1)+SUM($C$2:C569))</f>
        <v>0x42041000</v>
      </c>
    </row>
    <row r="570" spans="2:4" x14ac:dyDescent="0.2">
      <c r="B570" t="s">
        <v>1900</v>
      </c>
      <c r="C570">
        <v>80</v>
      </c>
      <c r="D570" s="10" t="str">
        <f>"0x"&amp;DEC2HEX(HEX2DEC(D$1)+SUM($C$2:C570))</f>
        <v>0x42041050</v>
      </c>
    </row>
    <row r="571" spans="2:4" x14ac:dyDescent="0.2">
      <c r="B571" t="s">
        <v>1901</v>
      </c>
      <c r="C571">
        <v>80</v>
      </c>
      <c r="D571" s="10" t="str">
        <f>"0x"&amp;DEC2HEX(HEX2DEC(D$1)+SUM($C$2:C571))</f>
        <v>0x420410A0</v>
      </c>
    </row>
    <row r="572" spans="2:4" x14ac:dyDescent="0.2">
      <c r="B572" t="s">
        <v>1902</v>
      </c>
      <c r="C572">
        <v>66</v>
      </c>
      <c r="D572" s="10" t="str">
        <f>"0x"&amp;DEC2HEX(HEX2DEC(D$1)+SUM($C$2:C572))</f>
        <v>0x420410E2</v>
      </c>
    </row>
    <row r="573" spans="2:4" x14ac:dyDescent="0.2">
      <c r="B573" t="s">
        <v>1903</v>
      </c>
      <c r="C573">
        <v>58</v>
      </c>
      <c r="D573" s="10" t="str">
        <f>"0x"&amp;DEC2HEX(HEX2DEC(D$1)+SUM($C$2:C573))</f>
        <v>0x4204111C</v>
      </c>
    </row>
    <row r="574" spans="2:4" x14ac:dyDescent="0.2">
      <c r="B574" t="s">
        <v>1904</v>
      </c>
      <c r="C574">
        <v>58</v>
      </c>
      <c r="D574" s="10" t="str">
        <f>"0x"&amp;DEC2HEX(HEX2DEC(D$1)+SUM($C$2:C574))</f>
        <v>0x42041156</v>
      </c>
    </row>
    <row r="575" spans="2:4" x14ac:dyDescent="0.2">
      <c r="B575" t="s">
        <v>1905</v>
      </c>
      <c r="C575">
        <v>56</v>
      </c>
      <c r="D575" s="10" t="str">
        <f>"0x"&amp;DEC2HEX(HEX2DEC(D$1)+SUM($C$2:C575))</f>
        <v>0x4204118E</v>
      </c>
    </row>
    <row r="576" spans="2:4" x14ac:dyDescent="0.2">
      <c r="B576" t="s">
        <v>1906</v>
      </c>
      <c r="C576">
        <v>58</v>
      </c>
      <c r="D576" s="10" t="str">
        <f>"0x"&amp;DEC2HEX(HEX2DEC(D$1)+SUM($C$2:C576))</f>
        <v>0x420411C8</v>
      </c>
    </row>
    <row r="577" spans="1:4" x14ac:dyDescent="0.2">
      <c r="B577" t="s">
        <v>1907</v>
      </c>
      <c r="C577">
        <v>58</v>
      </c>
      <c r="D577" s="10" t="str">
        <f>"0x"&amp;DEC2HEX(HEX2DEC(D$1)+SUM($C$2:C577))</f>
        <v>0x42041202</v>
      </c>
    </row>
    <row r="578" spans="1:4" x14ac:dyDescent="0.2">
      <c r="B578" t="s">
        <v>1908</v>
      </c>
      <c r="C578">
        <v>94</v>
      </c>
      <c r="D578" s="10" t="str">
        <f>"0x"&amp;DEC2HEX(HEX2DEC(D$1)+SUM($C$2:C578))</f>
        <v>0x42041260</v>
      </c>
    </row>
    <row r="579" spans="1:4" x14ac:dyDescent="0.2">
      <c r="B579" t="s">
        <v>1909</v>
      </c>
      <c r="C579">
        <v>58</v>
      </c>
      <c r="D579" s="10" t="str">
        <f>"0x"&amp;DEC2HEX(HEX2DEC(D$1)+SUM($C$2:C579))</f>
        <v>0x4204129A</v>
      </c>
    </row>
    <row r="580" spans="1:4" x14ac:dyDescent="0.2">
      <c r="B580" t="s">
        <v>1910</v>
      </c>
      <c r="C580">
        <v>164</v>
      </c>
      <c r="D580" s="10" t="str">
        <f>"0x"&amp;DEC2HEX(HEX2DEC(D$1)+SUM($C$2:C580))</f>
        <v>0x4204133E</v>
      </c>
    </row>
    <row r="581" spans="1:4" x14ac:dyDescent="0.2">
      <c r="B581" t="s">
        <v>1911</v>
      </c>
      <c r="C581">
        <v>214</v>
      </c>
      <c r="D581" s="10" t="str">
        <f>"0x"&amp;DEC2HEX(HEX2DEC(D$1)+SUM($C$2:C581))</f>
        <v>0x42041414</v>
      </c>
    </row>
    <row r="582" spans="1:4" x14ac:dyDescent="0.2">
      <c r="A582" t="s">
        <v>1912</v>
      </c>
      <c r="D582" s="10"/>
    </row>
    <row r="583" spans="1:4" x14ac:dyDescent="0.2">
      <c r="A583" t="s">
        <v>1913</v>
      </c>
      <c r="D583" s="10"/>
    </row>
    <row r="584" spans="1:4" x14ac:dyDescent="0.2">
      <c r="A584" t="s">
        <v>1914</v>
      </c>
      <c r="D584" s="10"/>
    </row>
    <row r="585" spans="1:4" x14ac:dyDescent="0.2">
      <c r="A585" t="s">
        <v>266</v>
      </c>
      <c r="D585" s="10"/>
    </row>
    <row r="586" spans="1:4" x14ac:dyDescent="0.2">
      <c r="B586" t="s">
        <v>1915</v>
      </c>
      <c r="C586">
        <v>8</v>
      </c>
      <c r="D586" s="10" t="str">
        <f>"0x"&amp;DEC2HEX(HEX2DEC(D$1)+SUM($C$2:C586))</f>
        <v>0x4204141C</v>
      </c>
    </row>
    <row r="587" spans="1:4" x14ac:dyDescent="0.2">
      <c r="B587" t="s">
        <v>1916</v>
      </c>
      <c r="C587">
        <v>52</v>
      </c>
      <c r="D587" s="10" t="str">
        <f>"0x"&amp;DEC2HEX(HEX2DEC(D$1)+SUM($C$2:C587))</f>
        <v>0x42041450</v>
      </c>
    </row>
    <row r="588" spans="1:4" x14ac:dyDescent="0.2">
      <c r="B588" t="s">
        <v>1917</v>
      </c>
      <c r="C588">
        <v>80</v>
      </c>
      <c r="D588" s="10" t="str">
        <f>"0x"&amp;DEC2HEX(HEX2DEC(D$1)+SUM($C$2:C588))</f>
        <v>0x420414A0</v>
      </c>
    </row>
    <row r="589" spans="1:4" x14ac:dyDescent="0.2">
      <c r="B589" t="s">
        <v>1918</v>
      </c>
      <c r="C589">
        <v>60</v>
      </c>
      <c r="D589" s="10" t="str">
        <f>"0x"&amp;DEC2HEX(HEX2DEC(D$1)+SUM($C$2:C589))</f>
        <v>0x420414DC</v>
      </c>
    </row>
    <row r="590" spans="1:4" x14ac:dyDescent="0.2">
      <c r="B590" t="s">
        <v>1919</v>
      </c>
      <c r="C590">
        <v>22</v>
      </c>
      <c r="D590" s="10" t="str">
        <f>"0x"&amp;DEC2HEX(HEX2DEC(D$1)+SUM($C$2:C590))</f>
        <v>0x420414F2</v>
      </c>
    </row>
    <row r="591" spans="1:4" x14ac:dyDescent="0.2">
      <c r="B591" t="s">
        <v>1920</v>
      </c>
      <c r="C591">
        <v>92</v>
      </c>
      <c r="D591" s="10" t="str">
        <f>"0x"&amp;DEC2HEX(HEX2DEC(D$1)+SUM($C$2:C591))</f>
        <v>0x4204154E</v>
      </c>
    </row>
    <row r="592" spans="1:4" x14ac:dyDescent="0.2">
      <c r="B592" t="s">
        <v>1921</v>
      </c>
      <c r="C592">
        <v>44</v>
      </c>
      <c r="D592" s="10" t="str">
        <f>"0x"&amp;DEC2HEX(HEX2DEC(D$1)+SUM($C$2:C592))</f>
        <v>0x4204157A</v>
      </c>
    </row>
    <row r="593" spans="1:4" x14ac:dyDescent="0.2">
      <c r="B593" t="s">
        <v>1922</v>
      </c>
      <c r="C593">
        <v>104</v>
      </c>
      <c r="D593" s="10" t="str">
        <f>"0x"&amp;DEC2HEX(HEX2DEC(D$1)+SUM($C$2:C593))</f>
        <v>0x420415E2</v>
      </c>
    </row>
    <row r="594" spans="1:4" x14ac:dyDescent="0.2">
      <c r="B594" t="s">
        <v>1923</v>
      </c>
      <c r="C594">
        <v>76</v>
      </c>
      <c r="D594" s="10" t="str">
        <f>"0x"&amp;DEC2HEX(HEX2DEC(D$1)+SUM($C$2:C594))</f>
        <v>0x4204162E</v>
      </c>
    </row>
    <row r="595" spans="1:4" x14ac:dyDescent="0.2">
      <c r="B595" t="s">
        <v>1924</v>
      </c>
      <c r="C595">
        <v>14</v>
      </c>
      <c r="D595" s="10" t="str">
        <f>"0x"&amp;DEC2HEX(HEX2DEC(D$1)+SUM($C$2:C595))</f>
        <v>0x4204163C</v>
      </c>
    </row>
    <row r="596" spans="1:4" x14ac:dyDescent="0.2">
      <c r="B596" t="s">
        <v>1925</v>
      </c>
      <c r="C596">
        <v>14</v>
      </c>
      <c r="D596" s="10" t="str">
        <f>"0x"&amp;DEC2HEX(HEX2DEC(D$1)+SUM($C$2:C596))</f>
        <v>0x4204164A</v>
      </c>
    </row>
    <row r="597" spans="1:4" x14ac:dyDescent="0.2">
      <c r="B597" t="s">
        <v>1926</v>
      </c>
      <c r="C597">
        <v>192</v>
      </c>
      <c r="D597" s="10" t="str">
        <f>"0x"&amp;DEC2HEX(HEX2DEC(D$1)+SUM($C$2:C597))</f>
        <v>0x4204170A</v>
      </c>
    </row>
    <row r="598" spans="1:4" x14ac:dyDescent="0.2">
      <c r="B598" t="s">
        <v>1927</v>
      </c>
      <c r="C598">
        <v>38</v>
      </c>
      <c r="D598" s="10" t="str">
        <f>"0x"&amp;DEC2HEX(HEX2DEC(D$1)+SUM($C$2:C598))</f>
        <v>0x42041730</v>
      </c>
    </row>
    <row r="599" spans="1:4" x14ac:dyDescent="0.2">
      <c r="B599" t="s">
        <v>1928</v>
      </c>
      <c r="C599">
        <v>308</v>
      </c>
      <c r="D599" s="10" t="str">
        <f>"0x"&amp;DEC2HEX(HEX2DEC(D$1)+SUM($C$2:C599))</f>
        <v>0x42041864</v>
      </c>
    </row>
    <row r="600" spans="1:4" x14ac:dyDescent="0.2">
      <c r="B600" t="s">
        <v>1929</v>
      </c>
      <c r="C600">
        <v>266</v>
      </c>
      <c r="D600" s="10" t="str">
        <f>"0x"&amp;DEC2HEX(HEX2DEC(D$1)+SUM($C$2:C600))</f>
        <v>0x4204196E</v>
      </c>
    </row>
    <row r="601" spans="1:4" x14ac:dyDescent="0.2">
      <c r="B601" t="s">
        <v>1930</v>
      </c>
      <c r="C601">
        <v>300</v>
      </c>
      <c r="D601" s="10" t="str">
        <f>"0x"&amp;DEC2HEX(HEX2DEC(D$1)+SUM($C$2:C601))</f>
        <v>0x42041A9A</v>
      </c>
    </row>
    <row r="602" spans="1:4" x14ac:dyDescent="0.2">
      <c r="B602" t="s">
        <v>1931</v>
      </c>
      <c r="C602">
        <v>74</v>
      </c>
      <c r="D602" s="10" t="str">
        <f>"0x"&amp;DEC2HEX(HEX2DEC(D$1)+SUM($C$2:C602))</f>
        <v>0x42041AE4</v>
      </c>
    </row>
    <row r="603" spans="1:4" x14ac:dyDescent="0.2">
      <c r="B603" t="s">
        <v>1932</v>
      </c>
      <c r="C603">
        <v>100</v>
      </c>
      <c r="D603" s="10" t="str">
        <f>"0x"&amp;DEC2HEX(HEX2DEC(D$1)+SUM($C$2:C603))</f>
        <v>0x42041B48</v>
      </c>
    </row>
    <row r="604" spans="1:4" x14ac:dyDescent="0.2">
      <c r="A604" t="s">
        <v>267</v>
      </c>
      <c r="D604" s="10"/>
    </row>
    <row r="605" spans="1:4" x14ac:dyDescent="0.2">
      <c r="B605" t="s">
        <v>1933</v>
      </c>
      <c r="C605">
        <v>24</v>
      </c>
      <c r="D605" s="10" t="str">
        <f>"0x"&amp;DEC2HEX(HEX2DEC(D$1)+SUM($C$2:C605))</f>
        <v>0x42041B60</v>
      </c>
    </row>
    <row r="606" spans="1:4" x14ac:dyDescent="0.2">
      <c r="B606" t="s">
        <v>1934</v>
      </c>
      <c r="C606">
        <v>78</v>
      </c>
      <c r="D606" s="10" t="str">
        <f>"0x"&amp;DEC2HEX(HEX2DEC(D$1)+SUM($C$2:C606))</f>
        <v>0x42041BAE</v>
      </c>
    </row>
    <row r="607" spans="1:4" x14ac:dyDescent="0.2">
      <c r="B607" t="s">
        <v>1935</v>
      </c>
      <c r="C607">
        <v>84</v>
      </c>
      <c r="D607" s="10" t="str">
        <f>"0x"&amp;DEC2HEX(HEX2DEC(D$1)+SUM($C$2:C607))</f>
        <v>0x42041C02</v>
      </c>
    </row>
    <row r="608" spans="1:4" x14ac:dyDescent="0.2">
      <c r="B608" t="s">
        <v>1936</v>
      </c>
      <c r="C608">
        <v>58</v>
      </c>
      <c r="D608" s="10" t="str">
        <f>"0x"&amp;DEC2HEX(HEX2DEC(D$1)+SUM($C$2:C608))</f>
        <v>0x42041C3C</v>
      </c>
    </row>
    <row r="609" spans="2:4" x14ac:dyDescent="0.2">
      <c r="B609" t="s">
        <v>1937</v>
      </c>
      <c r="C609">
        <v>10</v>
      </c>
      <c r="D609" s="10" t="str">
        <f>"0x"&amp;DEC2HEX(HEX2DEC(D$1)+SUM($C$2:C609))</f>
        <v>0x42041C46</v>
      </c>
    </row>
    <row r="610" spans="2:4" x14ac:dyDescent="0.2">
      <c r="B610" t="s">
        <v>1938</v>
      </c>
      <c r="C610">
        <v>10</v>
      </c>
      <c r="D610" s="10" t="str">
        <f>"0x"&amp;DEC2HEX(HEX2DEC(D$1)+SUM($C$2:C610))</f>
        <v>0x42041C50</v>
      </c>
    </row>
    <row r="611" spans="2:4" x14ac:dyDescent="0.2">
      <c r="B611" t="s">
        <v>1939</v>
      </c>
      <c r="C611">
        <v>22</v>
      </c>
      <c r="D611" s="10" t="str">
        <f>"0x"&amp;DEC2HEX(HEX2DEC(D$1)+SUM($C$2:C611))</f>
        <v>0x42041C66</v>
      </c>
    </row>
    <row r="612" spans="2:4" x14ac:dyDescent="0.2">
      <c r="B612" t="s">
        <v>1940</v>
      </c>
      <c r="C612">
        <v>10</v>
      </c>
      <c r="D612" s="10" t="str">
        <f>"0x"&amp;DEC2HEX(HEX2DEC(D$1)+SUM($C$2:C612))</f>
        <v>0x42041C70</v>
      </c>
    </row>
    <row r="613" spans="2:4" x14ac:dyDescent="0.2">
      <c r="B613" t="s">
        <v>1941</v>
      </c>
      <c r="C613">
        <v>10</v>
      </c>
      <c r="D613" s="10" t="str">
        <f>"0x"&amp;DEC2HEX(HEX2DEC(D$1)+SUM($C$2:C613))</f>
        <v>0x42041C7A</v>
      </c>
    </row>
    <row r="614" spans="2:4" x14ac:dyDescent="0.2">
      <c r="B614" t="s">
        <v>1942</v>
      </c>
      <c r="C614">
        <v>486</v>
      </c>
      <c r="D614" s="10" t="str">
        <f>"0x"&amp;DEC2HEX(HEX2DEC(D$1)+SUM($C$2:C614))</f>
        <v>0x42041E60</v>
      </c>
    </row>
    <row r="615" spans="2:4" x14ac:dyDescent="0.2">
      <c r="B615" t="s">
        <v>1943</v>
      </c>
      <c r="C615">
        <v>844</v>
      </c>
      <c r="D615" s="10" t="str">
        <f>"0x"&amp;DEC2HEX(HEX2DEC(D$1)+SUM($C$2:C615))</f>
        <v>0x420421AC</v>
      </c>
    </row>
    <row r="616" spans="2:4" x14ac:dyDescent="0.2">
      <c r="B616" t="s">
        <v>1944</v>
      </c>
      <c r="C616">
        <v>112</v>
      </c>
      <c r="D616" s="10" t="str">
        <f>"0x"&amp;DEC2HEX(HEX2DEC(D$1)+SUM($C$2:C616))</f>
        <v>0x4204221C</v>
      </c>
    </row>
    <row r="617" spans="2:4" x14ac:dyDescent="0.2">
      <c r="B617" t="s">
        <v>1945</v>
      </c>
      <c r="C617">
        <v>34</v>
      </c>
      <c r="D617" s="10" t="str">
        <f>"0x"&amp;DEC2HEX(HEX2DEC(D$1)+SUM($C$2:C617))</f>
        <v>0x4204223E</v>
      </c>
    </row>
    <row r="618" spans="2:4" x14ac:dyDescent="0.2">
      <c r="B618" t="s">
        <v>1946</v>
      </c>
      <c r="C618">
        <v>86</v>
      </c>
      <c r="D618" s="10" t="str">
        <f>"0x"&amp;DEC2HEX(HEX2DEC(D$1)+SUM($C$2:C618))</f>
        <v>0x42042294</v>
      </c>
    </row>
    <row r="619" spans="2:4" x14ac:dyDescent="0.2">
      <c r="B619" t="s">
        <v>1947</v>
      </c>
      <c r="C619">
        <v>100</v>
      </c>
      <c r="D619" s="10" t="str">
        <f>"0x"&amp;DEC2HEX(HEX2DEC(D$1)+SUM($C$2:C619))</f>
        <v>0x420422F8</v>
      </c>
    </row>
    <row r="620" spans="2:4" x14ac:dyDescent="0.2">
      <c r="B620" t="s">
        <v>1948</v>
      </c>
      <c r="C620">
        <v>112</v>
      </c>
      <c r="D620" s="10" t="str">
        <f>"0x"&amp;DEC2HEX(HEX2DEC(D$1)+SUM($C$2:C620))</f>
        <v>0x42042368</v>
      </c>
    </row>
    <row r="621" spans="2:4" x14ac:dyDescent="0.2">
      <c r="B621" t="s">
        <v>1949</v>
      </c>
      <c r="C621">
        <v>150</v>
      </c>
      <c r="D621" s="10" t="str">
        <f>"0x"&amp;DEC2HEX(HEX2DEC(D$1)+SUM($C$2:C621))</f>
        <v>0x420423FE</v>
      </c>
    </row>
    <row r="622" spans="2:4" x14ac:dyDescent="0.2">
      <c r="B622" t="s">
        <v>1950</v>
      </c>
      <c r="C622">
        <v>100</v>
      </c>
      <c r="D622" s="10" t="str">
        <f>"0x"&amp;DEC2HEX(HEX2DEC(D$1)+SUM($C$2:C622))</f>
        <v>0x42042462</v>
      </c>
    </row>
    <row r="623" spans="2:4" x14ac:dyDescent="0.2">
      <c r="B623" t="s">
        <v>1951</v>
      </c>
      <c r="C623">
        <v>10</v>
      </c>
      <c r="D623" s="10" t="str">
        <f>"0x"&amp;DEC2HEX(HEX2DEC(D$1)+SUM($C$2:C623))</f>
        <v>0x4204246C</v>
      </c>
    </row>
    <row r="624" spans="2:4" x14ac:dyDescent="0.2">
      <c r="B624" t="s">
        <v>1952</v>
      </c>
      <c r="C624">
        <v>10</v>
      </c>
      <c r="D624" s="10" t="str">
        <f>"0x"&amp;DEC2HEX(HEX2DEC(D$1)+SUM($C$2:C624))</f>
        <v>0x42042476</v>
      </c>
    </row>
    <row r="625" spans="2:4" x14ac:dyDescent="0.2">
      <c r="B625" t="s">
        <v>1953</v>
      </c>
      <c r="C625">
        <v>10</v>
      </c>
      <c r="D625" s="10" t="str">
        <f>"0x"&amp;DEC2HEX(HEX2DEC(D$1)+SUM($C$2:C625))</f>
        <v>0x42042480</v>
      </c>
    </row>
    <row r="626" spans="2:4" x14ac:dyDescent="0.2">
      <c r="B626" t="s">
        <v>1954</v>
      </c>
      <c r="C626">
        <v>10</v>
      </c>
      <c r="D626" s="10" t="str">
        <f>"0x"&amp;DEC2HEX(HEX2DEC(D$1)+SUM($C$2:C626))</f>
        <v>0x4204248A</v>
      </c>
    </row>
    <row r="627" spans="2:4" x14ac:dyDescent="0.2">
      <c r="B627" t="s">
        <v>1955</v>
      </c>
      <c r="C627">
        <v>216</v>
      </c>
      <c r="D627" s="10" t="str">
        <f>"0x"&amp;DEC2HEX(HEX2DEC(D$1)+SUM($C$2:C627))</f>
        <v>0x42042562</v>
      </c>
    </row>
    <row r="628" spans="2:4" x14ac:dyDescent="0.2">
      <c r="B628" t="s">
        <v>1956</v>
      </c>
      <c r="C628">
        <v>256</v>
      </c>
      <c r="D628" s="10" t="str">
        <f>"0x"&amp;DEC2HEX(HEX2DEC(D$1)+SUM($C$2:C628))</f>
        <v>0x42042662</v>
      </c>
    </row>
    <row r="629" spans="2:4" x14ac:dyDescent="0.2">
      <c r="B629" t="s">
        <v>1957</v>
      </c>
      <c r="C629">
        <v>194</v>
      </c>
      <c r="D629" s="10" t="str">
        <f>"0x"&amp;DEC2HEX(HEX2DEC(D$1)+SUM($C$2:C629))</f>
        <v>0x42042724</v>
      </c>
    </row>
    <row r="630" spans="2:4" x14ac:dyDescent="0.2">
      <c r="B630" t="s">
        <v>1958</v>
      </c>
      <c r="C630">
        <v>26</v>
      </c>
      <c r="D630" s="10" t="str">
        <f>"0x"&amp;DEC2HEX(HEX2DEC(D$1)+SUM($C$2:C630))</f>
        <v>0x4204273E</v>
      </c>
    </row>
    <row r="631" spans="2:4" x14ac:dyDescent="0.2">
      <c r="B631" t="s">
        <v>1959</v>
      </c>
      <c r="C631">
        <v>60</v>
      </c>
      <c r="D631" s="10" t="str">
        <f>"0x"&amp;DEC2HEX(HEX2DEC(D$1)+SUM($C$2:C631))</f>
        <v>0x4204277A</v>
      </c>
    </row>
    <row r="632" spans="2:4" x14ac:dyDescent="0.2">
      <c r="B632" t="s">
        <v>1960</v>
      </c>
      <c r="C632">
        <v>168</v>
      </c>
      <c r="D632" s="10" t="str">
        <f>"0x"&amp;DEC2HEX(HEX2DEC(D$1)+SUM($C$2:C632))</f>
        <v>0x42042822</v>
      </c>
    </row>
    <row r="633" spans="2:4" x14ac:dyDescent="0.2">
      <c r="B633" t="s">
        <v>1961</v>
      </c>
      <c r="C633">
        <v>238</v>
      </c>
      <c r="D633" s="10" t="str">
        <f>"0x"&amp;DEC2HEX(HEX2DEC(D$1)+SUM($C$2:C633))</f>
        <v>0x42042910</v>
      </c>
    </row>
    <row r="634" spans="2:4" x14ac:dyDescent="0.2">
      <c r="B634" t="s">
        <v>1962</v>
      </c>
      <c r="C634">
        <v>118</v>
      </c>
      <c r="D634" s="10" t="str">
        <f>"0x"&amp;DEC2HEX(HEX2DEC(D$1)+SUM($C$2:C634))</f>
        <v>0x42042986</v>
      </c>
    </row>
    <row r="635" spans="2:4" x14ac:dyDescent="0.2">
      <c r="B635" t="s">
        <v>1963</v>
      </c>
      <c r="C635">
        <v>486</v>
      </c>
      <c r="D635" s="10" t="str">
        <f>"0x"&amp;DEC2HEX(HEX2DEC(D$1)+SUM($C$2:C635))</f>
        <v>0x42042B6C</v>
      </c>
    </row>
    <row r="636" spans="2:4" x14ac:dyDescent="0.2">
      <c r="B636" t="s">
        <v>1964</v>
      </c>
      <c r="C636">
        <v>98</v>
      </c>
      <c r="D636" s="10" t="str">
        <f>"0x"&amp;DEC2HEX(HEX2DEC(D$1)+SUM($C$2:C636))</f>
        <v>0x42042BCE</v>
      </c>
    </row>
    <row r="637" spans="2:4" x14ac:dyDescent="0.2">
      <c r="B637" t="s">
        <v>1965</v>
      </c>
      <c r="C637">
        <v>172</v>
      </c>
      <c r="D637" s="10" t="str">
        <f>"0x"&amp;DEC2HEX(HEX2DEC(D$1)+SUM($C$2:C637))</f>
        <v>0x42042C7A</v>
      </c>
    </row>
    <row r="638" spans="2:4" x14ac:dyDescent="0.2">
      <c r="B638" t="s">
        <v>1966</v>
      </c>
      <c r="C638">
        <v>170</v>
      </c>
      <c r="D638" s="10" t="str">
        <f>"0x"&amp;DEC2HEX(HEX2DEC(D$1)+SUM($C$2:C638))</f>
        <v>0x42042D24</v>
      </c>
    </row>
    <row r="639" spans="2:4" x14ac:dyDescent="0.2">
      <c r="B639" t="s">
        <v>1967</v>
      </c>
      <c r="C639">
        <v>138</v>
      </c>
      <c r="D639" s="10" t="str">
        <f>"0x"&amp;DEC2HEX(HEX2DEC(D$1)+SUM($C$2:C639))</f>
        <v>0x42042DAE</v>
      </c>
    </row>
    <row r="640" spans="2:4" x14ac:dyDescent="0.2">
      <c r="B640" t="s">
        <v>1968</v>
      </c>
      <c r="C640">
        <v>882</v>
      </c>
      <c r="D640" s="10" t="str">
        <f>"0x"&amp;DEC2HEX(HEX2DEC(D$1)+SUM($C$2:C640))</f>
        <v>0x42043120</v>
      </c>
    </row>
    <row r="641" spans="2:4" x14ac:dyDescent="0.2">
      <c r="B641" t="s">
        <v>1969</v>
      </c>
      <c r="C641">
        <v>68</v>
      </c>
      <c r="D641" s="10" t="str">
        <f>"0x"&amp;DEC2HEX(HEX2DEC(D$1)+SUM($C$2:C641))</f>
        <v>0x42043164</v>
      </c>
    </row>
    <row r="642" spans="2:4" x14ac:dyDescent="0.2">
      <c r="B642" t="s">
        <v>1970</v>
      </c>
      <c r="C642">
        <v>108</v>
      </c>
      <c r="D642" s="10" t="str">
        <f>"0x"&amp;DEC2HEX(HEX2DEC(D$1)+SUM($C$2:C642))</f>
        <v>0x420431D0</v>
      </c>
    </row>
    <row r="643" spans="2:4" x14ac:dyDescent="0.2">
      <c r="B643" t="s">
        <v>1971</v>
      </c>
      <c r="C643">
        <v>248</v>
      </c>
      <c r="D643" s="10" t="str">
        <f>"0x"&amp;DEC2HEX(HEX2DEC(D$1)+SUM($C$2:C643))</f>
        <v>0x420432C8</v>
      </c>
    </row>
    <row r="644" spans="2:4" x14ac:dyDescent="0.2">
      <c r="B644" t="s">
        <v>1972</v>
      </c>
      <c r="C644">
        <v>658</v>
      </c>
      <c r="D644" s="10" t="str">
        <f>"0x"&amp;DEC2HEX(HEX2DEC(D$1)+SUM($C$2:C644))</f>
        <v>0x4204355A</v>
      </c>
    </row>
    <row r="645" spans="2:4" x14ac:dyDescent="0.2">
      <c r="B645" t="s">
        <v>1973</v>
      </c>
      <c r="C645">
        <v>160</v>
      </c>
      <c r="D645" s="10" t="str">
        <f>"0x"&amp;DEC2HEX(HEX2DEC(D$1)+SUM($C$2:C645))</f>
        <v>0x420435FA</v>
      </c>
    </row>
    <row r="646" spans="2:4" x14ac:dyDescent="0.2">
      <c r="B646" t="s">
        <v>1974</v>
      </c>
      <c r="C646">
        <v>76</v>
      </c>
      <c r="D646" s="10" t="str">
        <f>"0x"&amp;DEC2HEX(HEX2DEC(D$1)+SUM($C$2:C646))</f>
        <v>0x42043646</v>
      </c>
    </row>
    <row r="647" spans="2:4" x14ac:dyDescent="0.2">
      <c r="B647" t="s">
        <v>1975</v>
      </c>
      <c r="C647">
        <v>60</v>
      </c>
      <c r="D647" s="10" t="str">
        <f>"0x"&amp;DEC2HEX(HEX2DEC(D$1)+SUM($C$2:C647))</f>
        <v>0x42043682</v>
      </c>
    </row>
    <row r="648" spans="2:4" x14ac:dyDescent="0.2">
      <c r="B648" t="s">
        <v>1976</v>
      </c>
      <c r="C648">
        <v>104</v>
      </c>
      <c r="D648" s="10" t="str">
        <f>"0x"&amp;DEC2HEX(HEX2DEC(D$1)+SUM($C$2:C648))</f>
        <v>0x420436EA</v>
      </c>
    </row>
    <row r="649" spans="2:4" x14ac:dyDescent="0.2">
      <c r="B649" t="s">
        <v>1977</v>
      </c>
      <c r="C649">
        <v>718</v>
      </c>
      <c r="D649" s="10" t="str">
        <f>"0x"&amp;DEC2HEX(HEX2DEC(D$1)+SUM($C$2:C649))</f>
        <v>0x420439B8</v>
      </c>
    </row>
    <row r="650" spans="2:4" x14ac:dyDescent="0.2">
      <c r="B650" t="s">
        <v>1978</v>
      </c>
      <c r="C650">
        <v>182</v>
      </c>
      <c r="D650" s="10" t="str">
        <f>"0x"&amp;DEC2HEX(HEX2DEC(D$1)+SUM($C$2:C650))</f>
        <v>0x42043A6E</v>
      </c>
    </row>
    <row r="651" spans="2:4" x14ac:dyDescent="0.2">
      <c r="B651" t="s">
        <v>1979</v>
      </c>
      <c r="C651">
        <v>96</v>
      </c>
      <c r="D651" s="10" t="str">
        <f>"0x"&amp;DEC2HEX(HEX2DEC(D$1)+SUM($C$2:C651))</f>
        <v>0x42043ACE</v>
      </c>
    </row>
    <row r="652" spans="2:4" x14ac:dyDescent="0.2">
      <c r="B652" t="s">
        <v>1980</v>
      </c>
      <c r="C652">
        <v>78</v>
      </c>
      <c r="D652" s="10" t="str">
        <f>"0x"&amp;DEC2HEX(HEX2DEC(D$1)+SUM($C$2:C652))</f>
        <v>0x42043B1C</v>
      </c>
    </row>
    <row r="653" spans="2:4" x14ac:dyDescent="0.2">
      <c r="B653" t="s">
        <v>1981</v>
      </c>
      <c r="C653">
        <v>96</v>
      </c>
      <c r="D653" s="10" t="str">
        <f>"0x"&amp;DEC2HEX(HEX2DEC(D$1)+SUM($C$2:C653))</f>
        <v>0x42043B7C</v>
      </c>
    </row>
    <row r="654" spans="2:4" x14ac:dyDescent="0.2">
      <c r="B654" t="s">
        <v>1982</v>
      </c>
      <c r="C654">
        <v>22</v>
      </c>
      <c r="D654" s="10" t="str">
        <f>"0x"&amp;DEC2HEX(HEX2DEC(D$1)+SUM($C$2:C654))</f>
        <v>0x42043B92</v>
      </c>
    </row>
    <row r="655" spans="2:4" x14ac:dyDescent="0.2">
      <c r="B655" t="s">
        <v>1983</v>
      </c>
      <c r="C655">
        <v>50</v>
      </c>
      <c r="D655" s="10" t="str">
        <f>"0x"&amp;DEC2HEX(HEX2DEC(D$1)+SUM($C$2:C655))</f>
        <v>0x42043BC4</v>
      </c>
    </row>
    <row r="656" spans="2:4" x14ac:dyDescent="0.2">
      <c r="B656" t="s">
        <v>1984</v>
      </c>
      <c r="C656">
        <v>928</v>
      </c>
      <c r="D656" s="10" t="str">
        <f>"0x"&amp;DEC2HEX(HEX2DEC(D$1)+SUM($C$2:C656))</f>
        <v>0x42043F64</v>
      </c>
    </row>
    <row r="657" spans="1:4" x14ac:dyDescent="0.2">
      <c r="B657" t="s">
        <v>1985</v>
      </c>
      <c r="C657">
        <v>194</v>
      </c>
      <c r="D657" s="10" t="str">
        <f>"0x"&amp;DEC2HEX(HEX2DEC(D$1)+SUM($C$2:C657))</f>
        <v>0x42044026</v>
      </c>
    </row>
    <row r="658" spans="1:4" x14ac:dyDescent="0.2">
      <c r="B658" t="s">
        <v>1986</v>
      </c>
      <c r="C658">
        <v>178</v>
      </c>
      <c r="D658" s="10" t="str">
        <f>"0x"&amp;DEC2HEX(HEX2DEC(D$1)+SUM($C$2:C658))</f>
        <v>0x420440D8</v>
      </c>
    </row>
    <row r="659" spans="1:4" x14ac:dyDescent="0.2">
      <c r="B659" t="s">
        <v>1987</v>
      </c>
      <c r="C659">
        <v>342</v>
      </c>
      <c r="D659" s="10" t="str">
        <f>"0x"&amp;DEC2HEX(HEX2DEC(D$1)+SUM($C$2:C659))</f>
        <v>0x4204422E</v>
      </c>
    </row>
    <row r="660" spans="1:4" x14ac:dyDescent="0.2">
      <c r="B660" t="s">
        <v>1988</v>
      </c>
      <c r="C660">
        <v>244</v>
      </c>
      <c r="D660" s="10" t="str">
        <f>"0x"&amp;DEC2HEX(HEX2DEC(D$1)+SUM($C$2:C660))</f>
        <v>0x42044322</v>
      </c>
    </row>
    <row r="661" spans="1:4" x14ac:dyDescent="0.2">
      <c r="B661" t="s">
        <v>1989</v>
      </c>
      <c r="C661">
        <v>256</v>
      </c>
      <c r="D661" s="10" t="str">
        <f>"0x"&amp;DEC2HEX(HEX2DEC(D$1)+SUM($C$2:C661))</f>
        <v>0x42044422</v>
      </c>
    </row>
    <row r="662" spans="1:4" x14ac:dyDescent="0.2">
      <c r="B662" t="s">
        <v>1990</v>
      </c>
      <c r="C662">
        <v>58</v>
      </c>
      <c r="D662" s="10" t="str">
        <f>"0x"&amp;DEC2HEX(HEX2DEC(D$1)+SUM($C$2:C662))</f>
        <v>0x4204445C</v>
      </c>
    </row>
    <row r="663" spans="1:4" x14ac:dyDescent="0.2">
      <c r="B663" t="s">
        <v>1991</v>
      </c>
      <c r="C663">
        <v>12</v>
      </c>
      <c r="D663" s="10" t="str">
        <f>"0x"&amp;DEC2HEX(HEX2DEC(D$1)+SUM($C$2:C663))</f>
        <v>0x42044468</v>
      </c>
    </row>
    <row r="664" spans="1:4" x14ac:dyDescent="0.2">
      <c r="B664" t="s">
        <v>1992</v>
      </c>
      <c r="C664">
        <v>224</v>
      </c>
      <c r="D664" s="10" t="str">
        <f>"0x"&amp;DEC2HEX(HEX2DEC(D$1)+SUM($C$2:C664))</f>
        <v>0x42044548</v>
      </c>
    </row>
    <row r="665" spans="1:4" x14ac:dyDescent="0.2">
      <c r="B665" t="s">
        <v>1993</v>
      </c>
      <c r="C665">
        <v>750</v>
      </c>
      <c r="D665" s="10" t="str">
        <f>"0x"&amp;DEC2HEX(HEX2DEC(D$1)+SUM($C$2:C665))</f>
        <v>0x42044836</v>
      </c>
    </row>
    <row r="666" spans="1:4" x14ac:dyDescent="0.2">
      <c r="B666" t="s">
        <v>1994</v>
      </c>
      <c r="C666">
        <v>442</v>
      </c>
      <c r="D666" s="10" t="str">
        <f>"0x"&amp;DEC2HEX(HEX2DEC(D$1)+SUM($C$2:C666))</f>
        <v>0x420449F0</v>
      </c>
    </row>
    <row r="667" spans="1:4" x14ac:dyDescent="0.2">
      <c r="B667" t="s">
        <v>1995</v>
      </c>
      <c r="C667">
        <v>512</v>
      </c>
      <c r="D667" s="10" t="str">
        <f>"0x"&amp;DEC2HEX(HEX2DEC(D$1)+SUM($C$2:C667))</f>
        <v>0x42044BF0</v>
      </c>
    </row>
    <row r="668" spans="1:4" x14ac:dyDescent="0.2">
      <c r="B668" t="s">
        <v>1996</v>
      </c>
      <c r="C668">
        <v>762</v>
      </c>
      <c r="D668" s="10" t="str">
        <f>"0x"&amp;DEC2HEX(HEX2DEC(D$1)+SUM($C$2:C668))</f>
        <v>0x42044EEA</v>
      </c>
    </row>
    <row r="669" spans="1:4" x14ac:dyDescent="0.2">
      <c r="B669" t="s">
        <v>1997</v>
      </c>
      <c r="C669">
        <v>208</v>
      </c>
      <c r="D669" s="10" t="str">
        <f>"0x"&amp;DEC2HEX(HEX2DEC(D$1)+SUM($C$2:C669))</f>
        <v>0x42044FBA</v>
      </c>
    </row>
    <row r="670" spans="1:4" x14ac:dyDescent="0.2">
      <c r="B670" t="s">
        <v>1998</v>
      </c>
      <c r="C670">
        <v>334</v>
      </c>
      <c r="D670" s="10" t="str">
        <f>"0x"&amp;DEC2HEX(HEX2DEC(D$1)+SUM($C$2:C670))</f>
        <v>0x42045108</v>
      </c>
    </row>
    <row r="671" spans="1:4" x14ac:dyDescent="0.2">
      <c r="B671" t="s">
        <v>1999</v>
      </c>
      <c r="C671">
        <v>774</v>
      </c>
      <c r="D671" s="10" t="str">
        <f>"0x"&amp;DEC2HEX(HEX2DEC(D$1)+SUM($C$2:C671))</f>
        <v>0x4204540E</v>
      </c>
    </row>
    <row r="672" spans="1:4" x14ac:dyDescent="0.2">
      <c r="A672" t="s">
        <v>2000</v>
      </c>
      <c r="D672" s="10" t="str">
        <f>"0x"&amp;DEC2HEX(HEX2DEC(D$1)+SUM($C$2:C672))</f>
        <v>0x4204540E</v>
      </c>
    </row>
    <row r="673" spans="1:6" x14ac:dyDescent="0.2">
      <c r="B673" t="s">
        <v>2001</v>
      </c>
      <c r="C673">
        <v>10</v>
      </c>
      <c r="D673" s="10" t="str">
        <f>"0x"&amp;DEC2HEX(HEX2DEC(D$1)+SUM($C$2:C673))</f>
        <v>0x42045418</v>
      </c>
    </row>
    <row r="674" spans="1:6" x14ac:dyDescent="0.2">
      <c r="B674" t="s">
        <v>2002</v>
      </c>
      <c r="C674">
        <v>18</v>
      </c>
      <c r="D674" s="10" t="str">
        <f>"0x"&amp;DEC2HEX(HEX2DEC(D$1)+SUM($C$2:C674))</f>
        <v>0x4204542A</v>
      </c>
    </row>
    <row r="675" spans="1:6" x14ac:dyDescent="0.2">
      <c r="B675" t="s">
        <v>2003</v>
      </c>
      <c r="C675">
        <v>46</v>
      </c>
      <c r="D675" s="10" t="str">
        <f>"0x"&amp;DEC2HEX(HEX2DEC(D$1)+SUM($C$2:C675))</f>
        <v>0x42045458</v>
      </c>
    </row>
    <row r="676" spans="1:6" x14ac:dyDescent="0.2">
      <c r="A676" t="s">
        <v>2004</v>
      </c>
    </row>
    <row r="677" spans="1:6" x14ac:dyDescent="0.2">
      <c r="A677" t="s">
        <v>2005</v>
      </c>
    </row>
    <row r="678" spans="1:6" x14ac:dyDescent="0.2">
      <c r="A678" t="s">
        <v>2006</v>
      </c>
    </row>
    <row r="679" spans="1:6" x14ac:dyDescent="0.2">
      <c r="A679" t="s">
        <v>2007</v>
      </c>
    </row>
    <row r="680" spans="1:6" x14ac:dyDescent="0.2">
      <c r="A680" t="s">
        <v>2008</v>
      </c>
    </row>
    <row r="681" spans="1:6" x14ac:dyDescent="0.2">
      <c r="A681" t="s">
        <v>2009</v>
      </c>
      <c r="E681" s="8">
        <f>SUM($C$2:C681)</f>
        <v>121568</v>
      </c>
      <c r="F681" s="9" t="str">
        <f>"0x"&amp;DEC2HEX(E681)</f>
        <v>0x1DAE0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A0CD-9454-E246-A9B4-480F1C491E77}">
  <dimension ref="A1:F379"/>
  <sheetViews>
    <sheetView workbookViewId="0">
      <selection activeCell="D4" sqref="D4"/>
    </sheetView>
  </sheetViews>
  <sheetFormatPr baseColWidth="10" defaultRowHeight="16" x14ac:dyDescent="0.2"/>
  <cols>
    <col min="1" max="1" width="27.1640625" customWidth="1"/>
    <col min="2" max="2" width="53.5" customWidth="1"/>
    <col min="4" max="4" width="15.5" style="10" customWidth="1"/>
  </cols>
  <sheetData>
    <row r="1" spans="1:4" x14ac:dyDescent="0.2">
      <c r="A1" t="s">
        <v>2010</v>
      </c>
      <c r="D1" s="10">
        <v>42044778</v>
      </c>
    </row>
    <row r="2" spans="1:4" x14ac:dyDescent="0.2">
      <c r="B2" t="s">
        <v>2014</v>
      </c>
      <c r="C2">
        <v>36</v>
      </c>
      <c r="D2" s="10" t="str">
        <f>"0x"&amp;DEC2HEX(HEX2DEC(D$1)+SUM($C$2:C2))</f>
        <v>0x4204479C</v>
      </c>
    </row>
    <row r="3" spans="1:4" x14ac:dyDescent="0.2">
      <c r="B3" t="s">
        <v>2015</v>
      </c>
      <c r="C3">
        <v>16</v>
      </c>
      <c r="D3" s="10" t="str">
        <f>"0x"&amp;DEC2HEX(HEX2DEC(D$1)+SUM($C$2:C3))</f>
        <v>0x420447AC</v>
      </c>
    </row>
    <row r="4" spans="1:4" x14ac:dyDescent="0.2">
      <c r="B4" t="s">
        <v>2016</v>
      </c>
      <c r="C4">
        <v>48</v>
      </c>
      <c r="D4" s="10" t="str">
        <f>"0x"&amp;DEC2HEX(HEX2DEC(D$1)+SUM($C$2:C4))</f>
        <v>0x420447DC</v>
      </c>
    </row>
    <row r="5" spans="1:4" x14ac:dyDescent="0.2">
      <c r="A5" t="s">
        <v>2018</v>
      </c>
    </row>
    <row r="6" spans="1:4" x14ac:dyDescent="0.2">
      <c r="B6" t="s">
        <v>2017</v>
      </c>
      <c r="C6">
        <v>32</v>
      </c>
      <c r="D6" s="10" t="str">
        <f>"0x"&amp;DEC2HEX(HEX2DEC(D$1)+SUM($C$2:C6))</f>
        <v>0x420447FC</v>
      </c>
    </row>
    <row r="7" spans="1:4" x14ac:dyDescent="0.2">
      <c r="B7" t="s">
        <v>2019</v>
      </c>
      <c r="C7">
        <v>132</v>
      </c>
      <c r="D7" s="10" t="str">
        <f>"0x"&amp;DEC2HEX(HEX2DEC(D$1)+SUM($C$2:C7))</f>
        <v>0x42044880</v>
      </c>
    </row>
    <row r="8" spans="1:4" x14ac:dyDescent="0.2">
      <c r="B8" t="s">
        <v>2020</v>
      </c>
      <c r="C8">
        <v>22</v>
      </c>
      <c r="D8" s="10" t="str">
        <f>"0x"&amp;DEC2HEX(HEX2DEC(D$1)+SUM($C$2:C8))</f>
        <v>0x42044896</v>
      </c>
    </row>
    <row r="9" spans="1:4" x14ac:dyDescent="0.2">
      <c r="B9" t="s">
        <v>2021</v>
      </c>
      <c r="C9">
        <v>114</v>
      </c>
      <c r="D9" s="10" t="str">
        <f>"0x"&amp;DEC2HEX(HEX2DEC(D$1)+SUM($C$2:C9))</f>
        <v>0x42044908</v>
      </c>
    </row>
    <row r="10" spans="1:4" x14ac:dyDescent="0.2">
      <c r="B10" t="s">
        <v>2022</v>
      </c>
      <c r="C10">
        <v>334</v>
      </c>
      <c r="D10" s="10" t="str">
        <f>"0x"&amp;DEC2HEX(HEX2DEC(D$1)+SUM($C$2:C10))</f>
        <v>0x42044A56</v>
      </c>
    </row>
    <row r="11" spans="1:4" x14ac:dyDescent="0.2">
      <c r="B11" t="s">
        <v>2023</v>
      </c>
      <c r="C11">
        <v>110</v>
      </c>
      <c r="D11" s="10" t="str">
        <f>"0x"&amp;DEC2HEX(HEX2DEC(D$1)+SUM($C$2:C11))</f>
        <v>0x42044AC4</v>
      </c>
    </row>
    <row r="12" spans="1:4" x14ac:dyDescent="0.2">
      <c r="B12" t="s">
        <v>2024</v>
      </c>
      <c r="C12">
        <v>250</v>
      </c>
      <c r="D12" s="10" t="str">
        <f>"0x"&amp;DEC2HEX(HEX2DEC(D$1)+SUM($C$2:C12))</f>
        <v>0x42044BBE</v>
      </c>
    </row>
    <row r="13" spans="1:4" x14ac:dyDescent="0.2">
      <c r="B13" t="s">
        <v>2025</v>
      </c>
      <c r="C13">
        <v>14</v>
      </c>
      <c r="D13" s="10" t="str">
        <f>"0x"&amp;DEC2HEX(HEX2DEC(D$1)+SUM($C$2:C13))</f>
        <v>0x42044BCC</v>
      </c>
    </row>
    <row r="14" spans="1:4" x14ac:dyDescent="0.2">
      <c r="A14" t="s">
        <v>2026</v>
      </c>
    </row>
    <row r="15" spans="1:4" x14ac:dyDescent="0.2">
      <c r="B15" t="s">
        <v>2027</v>
      </c>
      <c r="C15">
        <v>80</v>
      </c>
      <c r="D15" s="10" t="str">
        <f>"0x"&amp;DEC2HEX(HEX2DEC(D$1)+SUM($C$2:C15))</f>
        <v>0x42044C1C</v>
      </c>
    </row>
    <row r="16" spans="1:4" x14ac:dyDescent="0.2">
      <c r="B16" t="s">
        <v>2028</v>
      </c>
      <c r="C16">
        <v>86</v>
      </c>
      <c r="D16" s="10" t="str">
        <f>"0x"&amp;DEC2HEX(HEX2DEC(D$1)+SUM($C$2:C16))</f>
        <v>0x42044C72</v>
      </c>
    </row>
    <row r="17" spans="1:4" x14ac:dyDescent="0.2">
      <c r="B17" t="s">
        <v>2029</v>
      </c>
      <c r="C17">
        <v>42</v>
      </c>
      <c r="D17" s="10" t="str">
        <f>"0x"&amp;DEC2HEX(HEX2DEC(D$1)+SUM($C$2:C17))</f>
        <v>0x42044C9C</v>
      </c>
    </row>
    <row r="18" spans="1:4" x14ac:dyDescent="0.2">
      <c r="B18" t="s">
        <v>2030</v>
      </c>
      <c r="C18">
        <v>26</v>
      </c>
      <c r="D18" s="10" t="str">
        <f>"0x"&amp;DEC2HEX(HEX2DEC(D$1)+SUM($C$2:C18))</f>
        <v>0x42044CB6</v>
      </c>
    </row>
    <row r="19" spans="1:4" s="1" customFormat="1" x14ac:dyDescent="0.2">
      <c r="A19" t="s">
        <v>2031</v>
      </c>
      <c r="B19"/>
      <c r="C19"/>
      <c r="D19" s="10"/>
    </row>
    <row r="20" spans="1:4" s="1" customFormat="1" x14ac:dyDescent="0.2">
      <c r="A20" t="s">
        <v>2032</v>
      </c>
      <c r="B20"/>
      <c r="C20"/>
      <c r="D20" s="10"/>
    </row>
    <row r="21" spans="1:4" s="1" customFormat="1" x14ac:dyDescent="0.2">
      <c r="A21"/>
      <c r="B21" t="s">
        <v>2033</v>
      </c>
      <c r="C21">
        <v>2</v>
      </c>
      <c r="D21" s="10" t="str">
        <f>"0x"&amp;DEC2HEX(HEX2DEC(D$1)+SUM($C$2:C21))</f>
        <v>0x42044CB8</v>
      </c>
    </row>
    <row r="22" spans="1:4" s="1" customFormat="1" x14ac:dyDescent="0.2">
      <c r="A22"/>
      <c r="B22" t="s">
        <v>2034</v>
      </c>
      <c r="C22">
        <v>110</v>
      </c>
      <c r="D22" s="10" t="str">
        <f>"0x"&amp;DEC2HEX(HEX2DEC(D$1)+SUM($C$2:C22))</f>
        <v>0x42044D26</v>
      </c>
    </row>
    <row r="23" spans="1:4" s="1" customFormat="1" x14ac:dyDescent="0.2">
      <c r="A23"/>
      <c r="B23" t="s">
        <v>2035</v>
      </c>
      <c r="C23">
        <v>126</v>
      </c>
      <c r="D23" s="10" t="str">
        <f>"0x"&amp;DEC2HEX(HEX2DEC(D$1)+SUM($C$2:C23))</f>
        <v>0x42044DA4</v>
      </c>
    </row>
    <row r="24" spans="1:4" s="1" customFormat="1" x14ac:dyDescent="0.2">
      <c r="A24"/>
      <c r="B24" t="s">
        <v>2036</v>
      </c>
      <c r="C24">
        <v>112</v>
      </c>
      <c r="D24" s="10" t="str">
        <f>"0x"&amp;DEC2HEX(HEX2DEC(D$1)+SUM($C$2:C24))</f>
        <v>0x42044E14</v>
      </c>
    </row>
    <row r="25" spans="1:4" s="1" customFormat="1" x14ac:dyDescent="0.2">
      <c r="A25"/>
      <c r="B25" t="s">
        <v>2037</v>
      </c>
      <c r="C25">
        <v>62</v>
      </c>
      <c r="D25" s="10" t="str">
        <f>"0x"&amp;DEC2HEX(HEX2DEC(D$1)+SUM($C$2:C25))</f>
        <v>0x42044E52</v>
      </c>
    </row>
    <row r="26" spans="1:4" s="1" customFormat="1" x14ac:dyDescent="0.2">
      <c r="A26"/>
      <c r="B26" t="s">
        <v>2038</v>
      </c>
      <c r="C26">
        <v>62</v>
      </c>
      <c r="D26" s="10" t="str">
        <f>"0x"&amp;DEC2HEX(HEX2DEC(D$1)+SUM($C$2:C26))</f>
        <v>0x42044E90</v>
      </c>
    </row>
    <row r="27" spans="1:4" s="1" customFormat="1" x14ac:dyDescent="0.2">
      <c r="A27"/>
      <c r="B27" t="s">
        <v>2039</v>
      </c>
      <c r="C27">
        <v>172</v>
      </c>
      <c r="D27" s="10" t="str">
        <f>"0x"&amp;DEC2HEX(HEX2DEC(D$1)+SUM($C$2:C27))</f>
        <v>0x42044F3C</v>
      </c>
    </row>
    <row r="28" spans="1:4" s="1" customFormat="1" x14ac:dyDescent="0.2">
      <c r="A28"/>
      <c r="B28" t="s">
        <v>2040</v>
      </c>
      <c r="C28">
        <v>122</v>
      </c>
      <c r="D28" s="10" t="str">
        <f>"0x"&amp;DEC2HEX(HEX2DEC(D$1)+SUM($C$2:C28))</f>
        <v>0x42044FB6</v>
      </c>
    </row>
    <row r="29" spans="1:4" s="1" customFormat="1" x14ac:dyDescent="0.2">
      <c r="A29"/>
      <c r="B29" t="s">
        <v>2041</v>
      </c>
      <c r="C29">
        <v>32</v>
      </c>
      <c r="D29" s="10" t="str">
        <f>"0x"&amp;DEC2HEX(HEX2DEC(D$1)+SUM($C$2:C29))</f>
        <v>0x42044FD6</v>
      </c>
    </row>
    <row r="30" spans="1:4" s="1" customFormat="1" x14ac:dyDescent="0.2">
      <c r="A30"/>
      <c r="B30" t="s">
        <v>2042</v>
      </c>
      <c r="C30">
        <v>90</v>
      </c>
      <c r="D30" s="10" t="str">
        <f>"0x"&amp;DEC2HEX(HEX2DEC(D$1)+SUM($C$2:C30))</f>
        <v>0x42045030</v>
      </c>
    </row>
    <row r="31" spans="1:4" s="1" customFormat="1" x14ac:dyDescent="0.2">
      <c r="A31"/>
      <c r="B31" t="s">
        <v>2043</v>
      </c>
      <c r="C31">
        <v>38</v>
      </c>
      <c r="D31" s="10" t="str">
        <f>"0x"&amp;DEC2HEX(HEX2DEC(D$1)+SUM($C$2:C31))</f>
        <v>0x42045056</v>
      </c>
    </row>
    <row r="32" spans="1:4" s="1" customFormat="1" x14ac:dyDescent="0.2">
      <c r="A32"/>
      <c r="B32" t="s">
        <v>2044</v>
      </c>
      <c r="C32">
        <v>186</v>
      </c>
      <c r="D32" s="10" t="str">
        <f>"0x"&amp;DEC2HEX(HEX2DEC(D$1)+SUM($C$2:C32))</f>
        <v>0x42045110</v>
      </c>
    </row>
    <row r="33" spans="1:4" s="1" customFormat="1" x14ac:dyDescent="0.2">
      <c r="A33"/>
      <c r="B33" t="s">
        <v>2045</v>
      </c>
      <c r="C33">
        <v>72</v>
      </c>
      <c r="D33" s="10" t="str">
        <f>"0x"&amp;DEC2HEX(HEX2DEC(D$1)+SUM($C$2:C33))</f>
        <v>0x42045158</v>
      </c>
    </row>
    <row r="34" spans="1:4" s="1" customFormat="1" x14ac:dyDescent="0.2">
      <c r="A34"/>
      <c r="B34" t="s">
        <v>2046</v>
      </c>
      <c r="C34">
        <v>38</v>
      </c>
      <c r="D34" s="10" t="str">
        <f>"0x"&amp;DEC2HEX(HEX2DEC(D$1)+SUM($C$2:C34))</f>
        <v>0x4204517E</v>
      </c>
    </row>
    <row r="35" spans="1:4" s="1" customFormat="1" x14ac:dyDescent="0.2">
      <c r="A35"/>
      <c r="B35" t="s">
        <v>2047</v>
      </c>
      <c r="C35">
        <v>404</v>
      </c>
      <c r="D35" s="10" t="str">
        <f>"0x"&amp;DEC2HEX(HEX2DEC(D$1)+SUM($C$2:C35))</f>
        <v>0x42045312</v>
      </c>
    </row>
    <row r="36" spans="1:4" s="1" customFormat="1" x14ac:dyDescent="0.2">
      <c r="A36"/>
      <c r="B36" t="s">
        <v>2048</v>
      </c>
      <c r="C36">
        <v>106</v>
      </c>
      <c r="D36" s="10" t="str">
        <f>"0x"&amp;DEC2HEX(HEX2DEC(D$1)+SUM($C$2:C36))</f>
        <v>0x4204537C</v>
      </c>
    </row>
    <row r="37" spans="1:4" s="1" customFormat="1" x14ac:dyDescent="0.2">
      <c r="A37"/>
      <c r="B37" t="s">
        <v>2049</v>
      </c>
      <c r="C37">
        <v>102</v>
      </c>
      <c r="D37" s="10" t="str">
        <f>"0x"&amp;DEC2HEX(HEX2DEC(D$1)+SUM($C$2:C37))</f>
        <v>0x420453E2</v>
      </c>
    </row>
    <row r="38" spans="1:4" s="1" customFormat="1" x14ac:dyDescent="0.2">
      <c r="A38"/>
      <c r="B38" t="s">
        <v>2050</v>
      </c>
      <c r="C38">
        <v>120</v>
      </c>
      <c r="D38" s="10" t="str">
        <f>"0x"&amp;DEC2HEX(HEX2DEC(D$1)+SUM($C$2:C38))</f>
        <v>0x4204545A</v>
      </c>
    </row>
    <row r="39" spans="1:4" s="1" customFormat="1" x14ac:dyDescent="0.2">
      <c r="A39"/>
      <c r="B39" t="s">
        <v>2051</v>
      </c>
      <c r="C39">
        <v>94</v>
      </c>
      <c r="D39" s="10" t="str">
        <f>"0x"&amp;DEC2HEX(HEX2DEC(D$1)+SUM($C$2:C39))</f>
        <v>0x420454B8</v>
      </c>
    </row>
    <row r="40" spans="1:4" s="1" customFormat="1" x14ac:dyDescent="0.2">
      <c r="A40"/>
      <c r="B40" t="s">
        <v>2052</v>
      </c>
      <c r="C40">
        <v>190</v>
      </c>
      <c r="D40" s="10" t="str">
        <f>"0x"&amp;DEC2HEX(HEX2DEC(D$1)+SUM($C$2:C40))</f>
        <v>0x42045576</v>
      </c>
    </row>
    <row r="41" spans="1:4" s="1" customFormat="1" x14ac:dyDescent="0.2">
      <c r="A41"/>
      <c r="B41" t="s">
        <v>2053</v>
      </c>
      <c r="C41">
        <v>140</v>
      </c>
      <c r="D41" s="10" t="str">
        <f>"0x"&amp;DEC2HEX(HEX2DEC(D$1)+SUM($C$2:C41))</f>
        <v>0x42045602</v>
      </c>
    </row>
    <row r="42" spans="1:4" s="1" customFormat="1" x14ac:dyDescent="0.2">
      <c r="A42"/>
      <c r="B42" t="s">
        <v>2054</v>
      </c>
      <c r="C42">
        <v>74</v>
      </c>
      <c r="D42" s="10" t="str">
        <f>"0x"&amp;DEC2HEX(HEX2DEC(D$1)+SUM($C$2:C42))</f>
        <v>0x4204564C</v>
      </c>
    </row>
    <row r="43" spans="1:4" s="1" customFormat="1" x14ac:dyDescent="0.2">
      <c r="A43"/>
      <c r="B43" t="s">
        <v>2055</v>
      </c>
      <c r="C43">
        <v>896</v>
      </c>
      <c r="D43" s="10" t="str">
        <f>"0x"&amp;DEC2HEX(HEX2DEC(D$1)+SUM($C$2:C43))</f>
        <v>0x420459CC</v>
      </c>
    </row>
    <row r="44" spans="1:4" s="1" customFormat="1" x14ac:dyDescent="0.2">
      <c r="A44"/>
      <c r="B44" t="s">
        <v>2056</v>
      </c>
      <c r="C44">
        <v>100</v>
      </c>
      <c r="D44" s="10" t="str">
        <f>"0x"&amp;DEC2HEX(HEX2DEC(D$1)+SUM($C$2:C44))</f>
        <v>0x42045A30</v>
      </c>
    </row>
    <row r="45" spans="1:4" s="1" customFormat="1" x14ac:dyDescent="0.2">
      <c r="A45"/>
      <c r="B45" t="s">
        <v>2057</v>
      </c>
      <c r="C45">
        <v>178</v>
      </c>
      <c r="D45" s="10" t="str">
        <f>"0x"&amp;DEC2HEX(HEX2DEC(D$1)+SUM($C$2:C45))</f>
        <v>0x42045AE2</v>
      </c>
    </row>
    <row r="46" spans="1:4" s="1" customFormat="1" x14ac:dyDescent="0.2">
      <c r="A46"/>
      <c r="B46" t="s">
        <v>2058</v>
      </c>
      <c r="C46">
        <v>400</v>
      </c>
      <c r="D46" s="10" t="str">
        <f>"0x"&amp;DEC2HEX(HEX2DEC(D$1)+SUM($C$2:C46))</f>
        <v>0x42045C72</v>
      </c>
    </row>
    <row r="47" spans="1:4" s="1" customFormat="1" x14ac:dyDescent="0.2">
      <c r="A47"/>
      <c r="B47" t="s">
        <v>2059</v>
      </c>
      <c r="C47">
        <v>266</v>
      </c>
      <c r="D47" s="10" t="str">
        <f>"0x"&amp;DEC2HEX(HEX2DEC(D$1)+SUM($C$2:C47))</f>
        <v>0x42045D7C</v>
      </c>
    </row>
    <row r="48" spans="1:4" s="1" customFormat="1" x14ac:dyDescent="0.2">
      <c r="A48"/>
      <c r="B48" t="s">
        <v>2060</v>
      </c>
      <c r="C48">
        <v>72</v>
      </c>
      <c r="D48" s="10" t="str">
        <f>"0x"&amp;DEC2HEX(HEX2DEC(D$1)+SUM($C$2:C48))</f>
        <v>0x42045DC4</v>
      </c>
    </row>
    <row r="49" spans="1:4" s="1" customFormat="1" x14ac:dyDescent="0.2">
      <c r="A49"/>
      <c r="B49" t="s">
        <v>2061</v>
      </c>
      <c r="C49">
        <v>86</v>
      </c>
      <c r="D49" s="10" t="str">
        <f>"0x"&amp;DEC2HEX(HEX2DEC(D$1)+SUM($C$2:C49))</f>
        <v>0x42045E1A</v>
      </c>
    </row>
    <row r="50" spans="1:4" s="1" customFormat="1" x14ac:dyDescent="0.2">
      <c r="A50"/>
      <c r="B50" t="s">
        <v>2062</v>
      </c>
      <c r="C50">
        <v>988</v>
      </c>
      <c r="D50" s="10" t="str">
        <f>"0x"&amp;DEC2HEX(HEX2DEC(D$1)+SUM($C$2:C50))</f>
        <v>0x420461F6</v>
      </c>
    </row>
    <row r="51" spans="1:4" s="1" customFormat="1" x14ac:dyDescent="0.2">
      <c r="A51"/>
      <c r="B51" t="s">
        <v>2063</v>
      </c>
      <c r="C51">
        <v>16</v>
      </c>
      <c r="D51" s="10" t="str">
        <f>"0x"&amp;DEC2HEX(HEX2DEC(D$1)+SUM($C$2:C51))</f>
        <v>0x42046206</v>
      </c>
    </row>
    <row r="52" spans="1:4" s="1" customFormat="1" x14ac:dyDescent="0.2">
      <c r="A52"/>
      <c r="B52" t="s">
        <v>2064</v>
      </c>
      <c r="C52">
        <v>106</v>
      </c>
      <c r="D52" s="10" t="str">
        <f>"0x"&amp;DEC2HEX(HEX2DEC(D$1)+SUM($C$2:C52))</f>
        <v>0x42046270</v>
      </c>
    </row>
    <row r="53" spans="1:4" s="1" customFormat="1" x14ac:dyDescent="0.2">
      <c r="A53"/>
      <c r="B53" t="s">
        <v>2065</v>
      </c>
      <c r="C53">
        <v>968</v>
      </c>
      <c r="D53" s="10" t="str">
        <f>"0x"&amp;DEC2HEX(HEX2DEC(D$1)+SUM($C$2:C53))</f>
        <v>0x42046638</v>
      </c>
    </row>
    <row r="54" spans="1:4" s="1" customFormat="1" x14ac:dyDescent="0.2">
      <c r="A54"/>
      <c r="B54" t="s">
        <v>2066</v>
      </c>
      <c r="C54">
        <v>76</v>
      </c>
      <c r="D54" s="10" t="str">
        <f>"0x"&amp;DEC2HEX(HEX2DEC(D$1)+SUM($C$2:C54))</f>
        <v>0x42046684</v>
      </c>
    </row>
    <row r="55" spans="1:4" s="1" customFormat="1" x14ac:dyDescent="0.2">
      <c r="A55"/>
      <c r="B55" t="s">
        <v>2067</v>
      </c>
      <c r="C55">
        <v>56</v>
      </c>
      <c r="D55" s="10" t="str">
        <f>"0x"&amp;DEC2HEX(HEX2DEC(D$1)+SUM($C$2:C55))</f>
        <v>0x420466BC</v>
      </c>
    </row>
    <row r="56" spans="1:4" s="1" customFormat="1" x14ac:dyDescent="0.2">
      <c r="A56"/>
      <c r="B56" t="s">
        <v>2068</v>
      </c>
      <c r="C56">
        <v>208</v>
      </c>
      <c r="D56" s="10" t="str">
        <f>"0x"&amp;DEC2HEX(HEX2DEC(D$1)+SUM($C$2:C56))</f>
        <v>0x4204678C</v>
      </c>
    </row>
    <row r="57" spans="1:4" s="1" customFormat="1" x14ac:dyDescent="0.2">
      <c r="A57"/>
      <c r="B57" t="s">
        <v>2069</v>
      </c>
      <c r="C57">
        <v>46</v>
      </c>
      <c r="D57" s="10" t="str">
        <f>"0x"&amp;DEC2HEX(HEX2DEC(D$1)+SUM($C$2:C57))</f>
        <v>0x420467BA</v>
      </c>
    </row>
    <row r="58" spans="1:4" s="1" customFormat="1" x14ac:dyDescent="0.2">
      <c r="A58" t="s">
        <v>2077</v>
      </c>
      <c r="B58"/>
      <c r="C58"/>
      <c r="D58" s="10"/>
    </row>
    <row r="59" spans="1:4" s="1" customFormat="1" x14ac:dyDescent="0.2">
      <c r="A59"/>
      <c r="B59" t="s">
        <v>2070</v>
      </c>
      <c r="C59">
        <v>508</v>
      </c>
      <c r="D59" s="10" t="str">
        <f>"0x"&amp;DEC2HEX(HEX2DEC(D$1)+SUM($C$2:C59))</f>
        <v>0x420469B6</v>
      </c>
    </row>
    <row r="60" spans="1:4" s="1" customFormat="1" x14ac:dyDescent="0.2">
      <c r="A60"/>
      <c r="B60" t="s">
        <v>2071</v>
      </c>
      <c r="C60">
        <v>60</v>
      </c>
      <c r="D60" s="10" t="str">
        <f>"0x"&amp;DEC2HEX(HEX2DEC(D$1)+SUM($C$2:C60))</f>
        <v>0x420469F2</v>
      </c>
    </row>
    <row r="61" spans="1:4" s="1" customFormat="1" x14ac:dyDescent="0.2">
      <c r="A61"/>
      <c r="B61" t="s">
        <v>2072</v>
      </c>
      <c r="C61">
        <v>366</v>
      </c>
      <c r="D61" s="10" t="str">
        <f>"0x"&amp;DEC2HEX(HEX2DEC(D$1)+SUM($C$2:C61))</f>
        <v>0x42046B60</v>
      </c>
    </row>
    <row r="62" spans="1:4" s="1" customFormat="1" x14ac:dyDescent="0.2">
      <c r="A62"/>
      <c r="B62" t="s">
        <v>2073</v>
      </c>
      <c r="C62">
        <v>122</v>
      </c>
      <c r="D62" s="10" t="str">
        <f>"0x"&amp;DEC2HEX(HEX2DEC(D$1)+SUM($C$2:C62))</f>
        <v>0x42046BDA</v>
      </c>
    </row>
    <row r="63" spans="1:4" s="1" customFormat="1" x14ac:dyDescent="0.2">
      <c r="A63"/>
      <c r="B63" t="s">
        <v>2074</v>
      </c>
      <c r="C63">
        <v>580</v>
      </c>
      <c r="D63" s="10" t="str">
        <f>"0x"&amp;DEC2HEX(HEX2DEC(D$1)+SUM($C$2:C63))</f>
        <v>0x42046E1E</v>
      </c>
    </row>
    <row r="64" spans="1:4" s="1" customFormat="1" x14ac:dyDescent="0.2">
      <c r="A64"/>
      <c r="B64" t="s">
        <v>2075</v>
      </c>
      <c r="C64">
        <v>398</v>
      </c>
      <c r="D64" s="10" t="str">
        <f>"0x"&amp;DEC2HEX(HEX2DEC(D$1)+SUM($C$2:C64))</f>
        <v>0x42046FAC</v>
      </c>
    </row>
    <row r="65" spans="1:4" s="1" customFormat="1" x14ac:dyDescent="0.2">
      <c r="A65"/>
      <c r="B65" t="s">
        <v>2076</v>
      </c>
      <c r="C65">
        <v>16</v>
      </c>
      <c r="D65" s="10" t="str">
        <f>"0x"&amp;DEC2HEX(HEX2DEC(D$1)+SUM($C$2:C65))</f>
        <v>0x42046FBC</v>
      </c>
    </row>
    <row r="66" spans="1:4" s="1" customFormat="1" x14ac:dyDescent="0.2">
      <c r="A66" t="s">
        <v>2078</v>
      </c>
      <c r="B66"/>
      <c r="C66"/>
      <c r="D66" s="10" t="str">
        <f>"0x"&amp;DEC2HEX(HEX2DEC(D$1)+SUM($C$2:C66))</f>
        <v>0x42046FBC</v>
      </c>
    </row>
    <row r="67" spans="1:4" s="1" customFormat="1" x14ac:dyDescent="0.2">
      <c r="A67"/>
      <c r="B67" t="s">
        <v>2079</v>
      </c>
      <c r="C67">
        <v>44</v>
      </c>
      <c r="D67" s="10" t="str">
        <f>"0x"&amp;DEC2HEX(HEX2DEC(D$1)+SUM($C$2:C67))</f>
        <v>0x42046FE8</v>
      </c>
    </row>
    <row r="68" spans="1:4" s="1" customFormat="1" x14ac:dyDescent="0.2">
      <c r="A68"/>
      <c r="B68" t="s">
        <v>2080</v>
      </c>
      <c r="C68">
        <v>58</v>
      </c>
      <c r="D68" s="10" t="str">
        <f>"0x"&amp;DEC2HEX(HEX2DEC(D$1)+SUM($C$2:C68))</f>
        <v>0x42047022</v>
      </c>
    </row>
    <row r="69" spans="1:4" s="1" customFormat="1" x14ac:dyDescent="0.2">
      <c r="A69"/>
      <c r="B69" t="s">
        <v>2081</v>
      </c>
      <c r="C69">
        <v>118</v>
      </c>
      <c r="D69" s="10" t="str">
        <f>"0x"&amp;DEC2HEX(HEX2DEC(D$1)+SUM($C$2:C69))</f>
        <v>0x42047098</v>
      </c>
    </row>
    <row r="70" spans="1:4" s="1" customFormat="1" x14ac:dyDescent="0.2">
      <c r="A70"/>
      <c r="B70" t="s">
        <v>2082</v>
      </c>
      <c r="C70">
        <v>42</v>
      </c>
      <c r="D70" s="10" t="str">
        <f>"0x"&amp;DEC2HEX(HEX2DEC(D$1)+SUM($C$2:C70))</f>
        <v>0x420470C2</v>
      </c>
    </row>
    <row r="71" spans="1:4" s="1" customFormat="1" x14ac:dyDescent="0.2">
      <c r="A71" t="s">
        <v>2083</v>
      </c>
      <c r="B71"/>
      <c r="C71"/>
      <c r="D71" s="10" t="str">
        <f>"0x"&amp;DEC2HEX(HEX2DEC(D$1)+SUM($C$2:C71))</f>
        <v>0x420470C2</v>
      </c>
    </row>
    <row r="72" spans="1:4" s="1" customFormat="1" x14ac:dyDescent="0.2">
      <c r="A72"/>
      <c r="B72" t="s">
        <v>2084</v>
      </c>
      <c r="C72">
        <v>60</v>
      </c>
      <c r="D72" s="10" t="str">
        <f>"0x"&amp;DEC2HEX(HEX2DEC(D$1)+SUM($C$2:C72))</f>
        <v>0x420470FE</v>
      </c>
    </row>
    <row r="73" spans="1:4" s="1" customFormat="1" x14ac:dyDescent="0.2">
      <c r="A73"/>
      <c r="B73" t="s">
        <v>2085</v>
      </c>
      <c r="C73">
        <v>18</v>
      </c>
      <c r="D73" s="10" t="str">
        <f>"0x"&amp;DEC2HEX(HEX2DEC(D$1)+SUM($C$2:C73))</f>
        <v>0x42047110</v>
      </c>
    </row>
    <row r="74" spans="1:4" s="1" customFormat="1" x14ac:dyDescent="0.2">
      <c r="A74"/>
      <c r="B74" t="s">
        <v>2086</v>
      </c>
      <c r="C74">
        <v>162</v>
      </c>
      <c r="D74" s="10" t="str">
        <f>"0x"&amp;DEC2HEX(HEX2DEC(D$1)+SUM($C$2:C74))</f>
        <v>0x420471B2</v>
      </c>
    </row>
    <row r="75" spans="1:4" s="1" customFormat="1" x14ac:dyDescent="0.2">
      <c r="A75"/>
      <c r="B75" t="s">
        <v>2087</v>
      </c>
      <c r="C75">
        <v>96</v>
      </c>
      <c r="D75" s="10" t="str">
        <f>"0x"&amp;DEC2HEX(HEX2DEC(D$1)+SUM($C$2:C75))</f>
        <v>0x42047212</v>
      </c>
    </row>
    <row r="76" spans="1:4" s="1" customFormat="1" x14ac:dyDescent="0.2">
      <c r="A76" t="s">
        <v>2088</v>
      </c>
      <c r="B76"/>
      <c r="C76"/>
      <c r="D76" s="10" t="str">
        <f>"0x"&amp;DEC2HEX(HEX2DEC(D$1)+SUM($C$2:C76))</f>
        <v>0x42047212</v>
      </c>
    </row>
    <row r="77" spans="1:4" s="1" customFormat="1" x14ac:dyDescent="0.2">
      <c r="A77"/>
      <c r="B77" t="s">
        <v>2089</v>
      </c>
      <c r="C77">
        <v>128</v>
      </c>
      <c r="D77" s="10" t="str">
        <f>"0x"&amp;DEC2HEX(HEX2DEC(D$1)+SUM($C$2:C77))</f>
        <v>0x42047292</v>
      </c>
    </row>
    <row r="78" spans="1:4" s="1" customFormat="1" x14ac:dyDescent="0.2">
      <c r="A78" t="s">
        <v>2090</v>
      </c>
      <c r="B78"/>
      <c r="C78"/>
      <c r="D78" s="10" t="str">
        <f>"0x"&amp;DEC2HEX(HEX2DEC(D$1)+SUM($C$2:C78))</f>
        <v>0x42047292</v>
      </c>
    </row>
    <row r="79" spans="1:4" s="1" customFormat="1" x14ac:dyDescent="0.2">
      <c r="A79" t="s">
        <v>2091</v>
      </c>
      <c r="B79"/>
      <c r="C79"/>
      <c r="D79" s="10" t="str">
        <f>"0x"&amp;DEC2HEX(HEX2DEC(D$1)+SUM($C$2:C79))</f>
        <v>0x42047292</v>
      </c>
    </row>
    <row r="80" spans="1:4" s="1" customFormat="1" x14ac:dyDescent="0.2">
      <c r="A80" t="s">
        <v>2092</v>
      </c>
      <c r="B80"/>
      <c r="C80"/>
      <c r="D80" s="10" t="str">
        <f>"0x"&amp;DEC2HEX(HEX2DEC(D$1)+SUM($C$2:C80))</f>
        <v>0x42047292</v>
      </c>
    </row>
    <row r="81" spans="1:4" s="1" customFormat="1" x14ac:dyDescent="0.2">
      <c r="A81" t="s">
        <v>2093</v>
      </c>
      <c r="B81"/>
      <c r="C81"/>
      <c r="D81" s="10" t="str">
        <f>"0x"&amp;DEC2HEX(HEX2DEC(D$1)+SUM($C$2:C81))</f>
        <v>0x42047292</v>
      </c>
    </row>
    <row r="82" spans="1:4" s="1" customFormat="1" x14ac:dyDescent="0.2">
      <c r="A82"/>
      <c r="B82" t="s">
        <v>2094</v>
      </c>
      <c r="C82">
        <v>140</v>
      </c>
      <c r="D82" s="10" t="str">
        <f>"0x"&amp;DEC2HEX(HEX2DEC(D$1)+SUM($C$2:C82))</f>
        <v>0x4204731E</v>
      </c>
    </row>
    <row r="83" spans="1:4" s="1" customFormat="1" x14ac:dyDescent="0.2">
      <c r="A83"/>
      <c r="B83" t="s">
        <v>2095</v>
      </c>
      <c r="C83">
        <v>94</v>
      </c>
      <c r="D83" s="10" t="str">
        <f>"0x"&amp;DEC2HEX(HEX2DEC(D$1)+SUM($C$2:C83))</f>
        <v>0x4204737C</v>
      </c>
    </row>
    <row r="84" spans="1:4" s="1" customFormat="1" x14ac:dyDescent="0.2">
      <c r="A84"/>
      <c r="B84" t="s">
        <v>2096</v>
      </c>
      <c r="C84">
        <v>30</v>
      </c>
      <c r="D84" s="10" t="str">
        <f>"0x"&amp;DEC2HEX(HEX2DEC(D$1)+SUM($C$2:C84))</f>
        <v>0x4204739A</v>
      </c>
    </row>
    <row r="85" spans="1:4" s="1" customFormat="1" x14ac:dyDescent="0.2">
      <c r="A85"/>
      <c r="B85" t="s">
        <v>2097</v>
      </c>
      <c r="C85">
        <v>26</v>
      </c>
      <c r="D85" s="10" t="str">
        <f>"0x"&amp;DEC2HEX(HEX2DEC(D$1)+SUM($C$2:C85))</f>
        <v>0x420473B4</v>
      </c>
    </row>
    <row r="86" spans="1:4" s="1" customFormat="1" x14ac:dyDescent="0.2">
      <c r="A86"/>
      <c r="B86" t="s">
        <v>2098</v>
      </c>
      <c r="C86">
        <v>86</v>
      </c>
      <c r="D86" s="10" t="str">
        <f>"0x"&amp;DEC2HEX(HEX2DEC(D$1)+SUM($C$2:C86))</f>
        <v>0x4204740A</v>
      </c>
    </row>
    <row r="87" spans="1:4" s="1" customFormat="1" x14ac:dyDescent="0.2">
      <c r="A87"/>
      <c r="B87" t="s">
        <v>2099</v>
      </c>
      <c r="C87">
        <v>522</v>
      </c>
      <c r="D87" s="10" t="str">
        <f>"0x"&amp;DEC2HEX(HEX2DEC(D$1)+SUM($C$2:C87))</f>
        <v>0x42047614</v>
      </c>
    </row>
    <row r="88" spans="1:4" s="1" customFormat="1" x14ac:dyDescent="0.2">
      <c r="A88"/>
      <c r="B88" t="s">
        <v>2100</v>
      </c>
      <c r="C88">
        <v>444</v>
      </c>
      <c r="D88" s="10" t="str">
        <f>"0x"&amp;DEC2HEX(HEX2DEC(D$1)+SUM($C$2:C88))</f>
        <v>0x420477D0</v>
      </c>
    </row>
    <row r="89" spans="1:4" s="1" customFormat="1" x14ac:dyDescent="0.2">
      <c r="A89"/>
      <c r="B89" t="s">
        <v>2101</v>
      </c>
      <c r="C89">
        <v>46</v>
      </c>
      <c r="D89" s="10" t="str">
        <f>"0x"&amp;DEC2HEX(HEX2DEC(D$1)+SUM($C$2:C89))</f>
        <v>0x420477FE</v>
      </c>
    </row>
    <row r="90" spans="1:4" s="1" customFormat="1" x14ac:dyDescent="0.2">
      <c r="A90"/>
      <c r="B90" t="s">
        <v>2102</v>
      </c>
      <c r="C90">
        <v>46</v>
      </c>
      <c r="D90" s="10" t="str">
        <f>"0x"&amp;DEC2HEX(HEX2DEC(D$1)+SUM($C$2:C90))</f>
        <v>0x4204782C</v>
      </c>
    </row>
    <row r="91" spans="1:4" s="1" customFormat="1" x14ac:dyDescent="0.2">
      <c r="A91"/>
      <c r="B91" t="s">
        <v>2103</v>
      </c>
      <c r="C91">
        <v>110</v>
      </c>
      <c r="D91" s="10" t="str">
        <f>"0x"&amp;DEC2HEX(HEX2DEC(D$1)+SUM($C$2:C91))</f>
        <v>0x4204789A</v>
      </c>
    </row>
    <row r="92" spans="1:4" s="1" customFormat="1" x14ac:dyDescent="0.2">
      <c r="A92"/>
      <c r="B92" t="s">
        <v>2104</v>
      </c>
      <c r="C92">
        <v>46</v>
      </c>
      <c r="D92" s="10" t="str">
        <f>"0x"&amp;DEC2HEX(HEX2DEC(D$1)+SUM($C$2:C92))</f>
        <v>0x420478C8</v>
      </c>
    </row>
    <row r="93" spans="1:4" s="1" customFormat="1" x14ac:dyDescent="0.2">
      <c r="A93"/>
      <c r="B93" t="s">
        <v>2105</v>
      </c>
      <c r="C93">
        <v>128</v>
      </c>
      <c r="D93" s="10" t="str">
        <f>"0x"&amp;DEC2HEX(HEX2DEC(D$1)+SUM($C$2:C93))</f>
        <v>0x42047948</v>
      </c>
    </row>
    <row r="94" spans="1:4" s="1" customFormat="1" x14ac:dyDescent="0.2">
      <c r="A94"/>
      <c r="B94" t="s">
        <v>2106</v>
      </c>
      <c r="C94">
        <v>80</v>
      </c>
      <c r="D94" s="10" t="str">
        <f>"0x"&amp;DEC2HEX(HEX2DEC(D$1)+SUM($C$2:C94))</f>
        <v>0x42047998</v>
      </c>
    </row>
    <row r="95" spans="1:4" s="1" customFormat="1" x14ac:dyDescent="0.2">
      <c r="A95"/>
      <c r="B95" t="s">
        <v>2107</v>
      </c>
      <c r="C95">
        <v>404</v>
      </c>
      <c r="D95" s="10" t="str">
        <f>"0x"&amp;DEC2HEX(HEX2DEC(D$1)+SUM($C$2:C95))</f>
        <v>0x42047B2C</v>
      </c>
    </row>
    <row r="96" spans="1:4" s="1" customFormat="1" x14ac:dyDescent="0.2">
      <c r="A96"/>
      <c r="B96" t="s">
        <v>2108</v>
      </c>
      <c r="C96">
        <v>48</v>
      </c>
      <c r="D96" s="10" t="str">
        <f>"0x"&amp;DEC2HEX(HEX2DEC(D$1)+SUM($C$2:C96))</f>
        <v>0x42047B5C</v>
      </c>
    </row>
    <row r="97" spans="1:4" s="1" customFormat="1" x14ac:dyDescent="0.2">
      <c r="A97"/>
      <c r="B97" t="s">
        <v>2109</v>
      </c>
      <c r="C97">
        <v>36</v>
      </c>
      <c r="D97" s="10" t="str">
        <f>"0x"&amp;DEC2HEX(HEX2DEC(D$1)+SUM($C$2:C97))</f>
        <v>0x42047B80</v>
      </c>
    </row>
    <row r="98" spans="1:4" s="1" customFormat="1" x14ac:dyDescent="0.2">
      <c r="A98"/>
      <c r="B98" t="s">
        <v>2110</v>
      </c>
      <c r="C98">
        <v>202</v>
      </c>
      <c r="D98" s="10" t="str">
        <f>"0x"&amp;DEC2HEX(HEX2DEC(D$1)+SUM($C$2:C98))</f>
        <v>0x42047C4A</v>
      </c>
    </row>
    <row r="99" spans="1:4" s="1" customFormat="1" x14ac:dyDescent="0.2">
      <c r="A99"/>
      <c r="B99" t="s">
        <v>2111</v>
      </c>
      <c r="C99">
        <v>100</v>
      </c>
      <c r="D99" s="10" t="str">
        <f>"0x"&amp;DEC2HEX(HEX2DEC(D$1)+SUM($C$2:C99))</f>
        <v>0x42047CAE</v>
      </c>
    </row>
    <row r="100" spans="1:4" s="1" customFormat="1" x14ac:dyDescent="0.2">
      <c r="A100"/>
      <c r="B100" t="s">
        <v>2112</v>
      </c>
      <c r="C100">
        <v>100</v>
      </c>
      <c r="D100" s="10" t="str">
        <f>"0x"&amp;DEC2HEX(HEX2DEC(D$1)+SUM($C$2:C100))</f>
        <v>0x42047D12</v>
      </c>
    </row>
    <row r="101" spans="1:4" s="1" customFormat="1" x14ac:dyDescent="0.2">
      <c r="A101" t="s">
        <v>2113</v>
      </c>
      <c r="B101"/>
      <c r="C101"/>
      <c r="D101" s="10" t="str">
        <f>"0x"&amp;DEC2HEX(HEX2DEC(D$1)+SUM($C$2:C101))</f>
        <v>0x42047D12</v>
      </c>
    </row>
    <row r="102" spans="1:4" s="1" customFormat="1" x14ac:dyDescent="0.2">
      <c r="A102" t="s">
        <v>2114</v>
      </c>
      <c r="B102"/>
      <c r="C102"/>
      <c r="D102" s="10" t="str">
        <f>"0x"&amp;DEC2HEX(HEX2DEC(D$1)+SUM($C$2:C102))</f>
        <v>0x42047D12</v>
      </c>
    </row>
    <row r="103" spans="1:4" s="1" customFormat="1" x14ac:dyDescent="0.2">
      <c r="A103" t="s">
        <v>2115</v>
      </c>
      <c r="B103"/>
      <c r="C103"/>
      <c r="D103" s="10" t="str">
        <f>"0x"&amp;DEC2HEX(HEX2DEC(D$1)+SUM($C$2:C103))</f>
        <v>0x42047D12</v>
      </c>
    </row>
    <row r="104" spans="1:4" s="1" customFormat="1" x14ac:dyDescent="0.2">
      <c r="A104"/>
      <c r="B104" t="s">
        <v>2116</v>
      </c>
      <c r="C104">
        <v>14</v>
      </c>
      <c r="D104" s="10" t="str">
        <f>"0x"&amp;DEC2HEX(HEX2DEC(D$1)+SUM($C$2:C104))</f>
        <v>0x42047D20</v>
      </c>
    </row>
    <row r="105" spans="1:4" s="1" customFormat="1" x14ac:dyDescent="0.2">
      <c r="A105" t="s">
        <v>2117</v>
      </c>
      <c r="B105"/>
      <c r="C105"/>
      <c r="D105" s="10" t="str">
        <f>"0x"&amp;DEC2HEX(HEX2DEC(D$1)+SUM($C$2:C105))</f>
        <v>0x42047D20</v>
      </c>
    </row>
    <row r="106" spans="1:4" s="1" customFormat="1" x14ac:dyDescent="0.2">
      <c r="A106"/>
      <c r="B106" t="s">
        <v>2013</v>
      </c>
      <c r="C106">
        <v>352</v>
      </c>
      <c r="D106" s="10" t="str">
        <f>"0x"&amp;DEC2HEX(HEX2DEC(D$1)+SUM($C$2:C106))</f>
        <v>0x42047E80</v>
      </c>
    </row>
    <row r="107" spans="1:4" s="1" customFormat="1" x14ac:dyDescent="0.2">
      <c r="A107"/>
      <c r="B107" t="s">
        <v>2118</v>
      </c>
      <c r="C107">
        <v>164</v>
      </c>
      <c r="D107" s="10" t="str">
        <f>"0x"&amp;DEC2HEX(HEX2DEC(D$1)+SUM($C$2:C107))</f>
        <v>0x42047F24</v>
      </c>
    </row>
    <row r="108" spans="1:4" s="1" customFormat="1" x14ac:dyDescent="0.2">
      <c r="A108"/>
      <c r="B108" t="s">
        <v>2119</v>
      </c>
      <c r="C108">
        <v>268</v>
      </c>
      <c r="D108" s="10" t="str">
        <f>"0x"&amp;DEC2HEX(HEX2DEC(D$1)+SUM($C$2:C108))</f>
        <v>0x42048030</v>
      </c>
    </row>
    <row r="109" spans="1:4" s="1" customFormat="1" x14ac:dyDescent="0.2">
      <c r="A109" t="s">
        <v>2011</v>
      </c>
      <c r="B109"/>
      <c r="C109"/>
      <c r="D109" s="10"/>
    </row>
    <row r="110" spans="1:4" x14ac:dyDescent="0.2">
      <c r="B110" t="s">
        <v>2012</v>
      </c>
      <c r="C110">
        <v>30</v>
      </c>
      <c r="D110" s="10" t="str">
        <f>"0x"&amp;DEC2HEX(HEX2DEC(D$1)+SUM($C$2:C110))</f>
        <v>0x4204804E</v>
      </c>
    </row>
    <row r="111" spans="1:4" x14ac:dyDescent="0.2">
      <c r="B111" t="s">
        <v>2012</v>
      </c>
      <c r="C111">
        <v>30</v>
      </c>
      <c r="D111" s="10" t="str">
        <f>"0x"&amp;DEC2HEX(HEX2DEC(D$1)+SUM($C$2:C111))</f>
        <v>0x4204806C</v>
      </c>
    </row>
    <row r="112" spans="1:4" x14ac:dyDescent="0.2">
      <c r="B112" t="s">
        <v>2012</v>
      </c>
      <c r="C112">
        <v>30</v>
      </c>
      <c r="D112" s="10" t="str">
        <f>"0x"&amp;DEC2HEX(HEX2DEC(D$1)+SUM($C$2:C112))</f>
        <v>0x4204808A</v>
      </c>
    </row>
    <row r="113" spans="1:4" x14ac:dyDescent="0.2">
      <c r="B113" t="s">
        <v>2012</v>
      </c>
      <c r="C113">
        <v>30</v>
      </c>
      <c r="D113" s="10" t="str">
        <f>"0x"&amp;DEC2HEX(HEX2DEC(D$1)+SUM($C$2:C113))</f>
        <v>0x420480A8</v>
      </c>
    </row>
    <row r="114" spans="1:4" x14ac:dyDescent="0.2">
      <c r="B114" t="s">
        <v>2120</v>
      </c>
      <c r="C114">
        <v>30</v>
      </c>
      <c r="D114" s="10" t="str">
        <f>"0x"&amp;DEC2HEX(HEX2DEC(D$1)+SUM($C$2:C114))</f>
        <v>0x420480C6</v>
      </c>
    </row>
    <row r="115" spans="1:4" x14ac:dyDescent="0.2">
      <c r="B115" t="s">
        <v>2121</v>
      </c>
      <c r="C115">
        <v>46</v>
      </c>
      <c r="D115" s="10" t="str">
        <f>"0x"&amp;DEC2HEX(HEX2DEC(D$1)+SUM($C$2:C115))</f>
        <v>0x420480F4</v>
      </c>
    </row>
    <row r="116" spans="1:4" x14ac:dyDescent="0.2">
      <c r="B116" t="s">
        <v>2122</v>
      </c>
      <c r="C116">
        <v>34</v>
      </c>
      <c r="D116" s="10" t="str">
        <f>"0x"&amp;DEC2HEX(HEX2DEC(D$1)+SUM($C$2:C116))</f>
        <v>0x42048116</v>
      </c>
    </row>
    <row r="117" spans="1:4" x14ac:dyDescent="0.2">
      <c r="B117" t="s">
        <v>2123</v>
      </c>
      <c r="C117">
        <v>96</v>
      </c>
      <c r="D117" s="10" t="str">
        <f>"0x"&amp;DEC2HEX(HEX2DEC(D$1)+SUM($C$2:C117))</f>
        <v>0x42048176</v>
      </c>
    </row>
    <row r="118" spans="1:4" x14ac:dyDescent="0.2">
      <c r="B118" t="s">
        <v>2124</v>
      </c>
      <c r="C118">
        <v>142</v>
      </c>
      <c r="D118" s="10" t="str">
        <f>"0x"&amp;DEC2HEX(HEX2DEC(D$1)+SUM($C$2:C118))</f>
        <v>0x42048204</v>
      </c>
    </row>
    <row r="119" spans="1:4" x14ac:dyDescent="0.2">
      <c r="B119" t="s">
        <v>2125</v>
      </c>
      <c r="C119">
        <v>54</v>
      </c>
      <c r="D119" s="10" t="str">
        <f>"0x"&amp;DEC2HEX(HEX2DEC(D$1)+SUM($C$2:C119))</f>
        <v>0x4204823A</v>
      </c>
    </row>
    <row r="120" spans="1:4" x14ac:dyDescent="0.2">
      <c r="B120" t="s">
        <v>2126</v>
      </c>
      <c r="C120">
        <v>162</v>
      </c>
      <c r="D120" s="10" t="str">
        <f>"0x"&amp;DEC2HEX(HEX2DEC(D$1)+SUM($C$2:C120))</f>
        <v>0x420482DC</v>
      </c>
    </row>
    <row r="121" spans="1:4" x14ac:dyDescent="0.2">
      <c r="B121" t="s">
        <v>2127</v>
      </c>
      <c r="C121">
        <v>110</v>
      </c>
      <c r="D121" s="10" t="str">
        <f>"0x"&amp;DEC2HEX(HEX2DEC(D$1)+SUM($C$2:C121))</f>
        <v>0x4204834A</v>
      </c>
    </row>
    <row r="122" spans="1:4" x14ac:dyDescent="0.2">
      <c r="B122" t="s">
        <v>2128</v>
      </c>
      <c r="C122">
        <v>168</v>
      </c>
      <c r="D122" s="10" t="str">
        <f>"0x"&amp;DEC2HEX(HEX2DEC(D$1)+SUM($C$2:C122))</f>
        <v>0x420483F2</v>
      </c>
    </row>
    <row r="123" spans="1:4" x14ac:dyDescent="0.2">
      <c r="B123" t="s">
        <v>2129</v>
      </c>
      <c r="C123">
        <v>122</v>
      </c>
      <c r="D123" s="10" t="str">
        <f>"0x"&amp;DEC2HEX(HEX2DEC(D$1)+SUM($C$2:C123))</f>
        <v>0x4204846C</v>
      </c>
    </row>
    <row r="124" spans="1:4" x14ac:dyDescent="0.2">
      <c r="B124" t="s">
        <v>2130</v>
      </c>
      <c r="C124">
        <v>64</v>
      </c>
      <c r="D124" s="10" t="str">
        <f>"0x"&amp;DEC2HEX(HEX2DEC(D$1)+SUM($C$2:C124))</f>
        <v>0x420484AC</v>
      </c>
    </row>
    <row r="125" spans="1:4" x14ac:dyDescent="0.2">
      <c r="B125" t="s">
        <v>2131</v>
      </c>
      <c r="C125">
        <v>120</v>
      </c>
      <c r="D125" s="10" t="str">
        <f>"0x"&amp;DEC2HEX(HEX2DEC(D$1)+SUM($C$2:C125))</f>
        <v>0x42048524</v>
      </c>
    </row>
    <row r="126" spans="1:4" x14ac:dyDescent="0.2">
      <c r="B126" t="s">
        <v>2132</v>
      </c>
      <c r="C126">
        <v>24</v>
      </c>
      <c r="D126" s="10" t="str">
        <f>"0x"&amp;DEC2HEX(HEX2DEC(D$1)+SUM($C$2:C126))</f>
        <v>0x4204853C</v>
      </c>
    </row>
    <row r="127" spans="1:4" x14ac:dyDescent="0.2">
      <c r="A127" t="s">
        <v>2133</v>
      </c>
    </row>
    <row r="128" spans="1:4" x14ac:dyDescent="0.2">
      <c r="B128" t="s">
        <v>2134</v>
      </c>
      <c r="C128">
        <v>8</v>
      </c>
      <c r="D128" s="10" t="str">
        <f>"0x"&amp;DEC2HEX(HEX2DEC(D$1)+SUM($C$2:C128))</f>
        <v>0x42048544</v>
      </c>
    </row>
    <row r="129" spans="1:4" x14ac:dyDescent="0.2">
      <c r="B129" t="s">
        <v>2135</v>
      </c>
      <c r="C129">
        <v>2</v>
      </c>
      <c r="D129" s="10" t="str">
        <f>"0x"&amp;DEC2HEX(HEX2DEC(D$1)+SUM($C$2:C129))</f>
        <v>0x42048546</v>
      </c>
    </row>
    <row r="130" spans="1:4" x14ac:dyDescent="0.2">
      <c r="B130" t="s">
        <v>2136</v>
      </c>
      <c r="C130">
        <v>4</v>
      </c>
      <c r="D130" s="10" t="str">
        <f>"0x"&amp;DEC2HEX(HEX2DEC(D$1)+SUM($C$2:C130))</f>
        <v>0x4204854A</v>
      </c>
    </row>
    <row r="131" spans="1:4" x14ac:dyDescent="0.2">
      <c r="B131" t="s">
        <v>2137</v>
      </c>
      <c r="C131">
        <v>4</v>
      </c>
      <c r="D131" s="10" t="str">
        <f>"0x"&amp;DEC2HEX(HEX2DEC(D$1)+SUM($C$2:C131))</f>
        <v>0x4204854E</v>
      </c>
    </row>
    <row r="132" spans="1:4" x14ac:dyDescent="0.2">
      <c r="B132" t="s">
        <v>2138</v>
      </c>
      <c r="C132">
        <v>12</v>
      </c>
      <c r="D132" s="10" t="str">
        <f>"0x"&amp;DEC2HEX(HEX2DEC(D$1)+SUM($C$2:C132))</f>
        <v>0x4204855A</v>
      </c>
    </row>
    <row r="133" spans="1:4" x14ac:dyDescent="0.2">
      <c r="B133" t="s">
        <v>2139</v>
      </c>
      <c r="C133">
        <v>12</v>
      </c>
      <c r="D133" s="10" t="str">
        <f>"0x"&amp;DEC2HEX(HEX2DEC(D$1)+SUM($C$2:C133))</f>
        <v>0x42048566</v>
      </c>
    </row>
    <row r="134" spans="1:4" x14ac:dyDescent="0.2">
      <c r="A134" t="s">
        <v>2140</v>
      </c>
    </row>
    <row r="135" spans="1:4" x14ac:dyDescent="0.2">
      <c r="A135" t="s">
        <v>2141</v>
      </c>
    </row>
    <row r="136" spans="1:4" x14ac:dyDescent="0.2">
      <c r="A136" t="s">
        <v>2142</v>
      </c>
    </row>
    <row r="137" spans="1:4" x14ac:dyDescent="0.2">
      <c r="A137" t="s">
        <v>2143</v>
      </c>
    </row>
    <row r="138" spans="1:4" x14ac:dyDescent="0.2">
      <c r="A138" t="s">
        <v>2144</v>
      </c>
    </row>
    <row r="139" spans="1:4" x14ac:dyDescent="0.2">
      <c r="A139" t="s">
        <v>2145</v>
      </c>
    </row>
    <row r="140" spans="1:4" x14ac:dyDescent="0.2">
      <c r="A140" t="s">
        <v>2146</v>
      </c>
    </row>
    <row r="141" spans="1:4" x14ac:dyDescent="0.2">
      <c r="B141" t="s">
        <v>2147</v>
      </c>
      <c r="C141">
        <v>250</v>
      </c>
      <c r="D141" s="10" t="str">
        <f>"0x"&amp;DEC2HEX(HEX2DEC(D$1)+SUM($C$2:C141))</f>
        <v>0x42048660</v>
      </c>
    </row>
    <row r="142" spans="1:4" x14ac:dyDescent="0.2">
      <c r="B142" t="s">
        <v>2148</v>
      </c>
      <c r="C142">
        <v>4</v>
      </c>
      <c r="D142" s="10" t="str">
        <f>"0x"&amp;DEC2HEX(HEX2DEC(D$1)+SUM($C$2:C142))</f>
        <v>0x42048664</v>
      </c>
    </row>
    <row r="143" spans="1:4" x14ac:dyDescent="0.2">
      <c r="A143" t="s">
        <v>2149</v>
      </c>
      <c r="D143" s="11"/>
    </row>
    <row r="144" spans="1:4" x14ac:dyDescent="0.2">
      <c r="B144" t="s">
        <v>2150</v>
      </c>
      <c r="C144">
        <v>188</v>
      </c>
      <c r="D144" s="10" t="str">
        <f>"0x"&amp;DEC2HEX(HEX2DEC(D$1)+SUM($C$2:C144))</f>
        <v>0x42048720</v>
      </c>
    </row>
    <row r="145" spans="1:4" x14ac:dyDescent="0.2">
      <c r="A145" t="s">
        <v>2151</v>
      </c>
      <c r="D145" s="11"/>
    </row>
    <row r="146" spans="1:4" x14ac:dyDescent="0.2">
      <c r="A146" t="s">
        <v>2152</v>
      </c>
      <c r="D146" s="11"/>
    </row>
    <row r="147" spans="1:4" x14ac:dyDescent="0.2">
      <c r="A147" t="s">
        <v>2153</v>
      </c>
      <c r="D147" s="11"/>
    </row>
    <row r="148" spans="1:4" x14ac:dyDescent="0.2">
      <c r="A148" t="s">
        <v>2154</v>
      </c>
      <c r="D148" s="11"/>
    </row>
    <row r="149" spans="1:4" x14ac:dyDescent="0.2">
      <c r="A149" t="s">
        <v>2155</v>
      </c>
      <c r="D149" s="11"/>
    </row>
    <row r="150" spans="1:4" x14ac:dyDescent="0.2">
      <c r="A150" t="s">
        <v>2156</v>
      </c>
      <c r="D150" s="11"/>
    </row>
    <row r="151" spans="1:4" x14ac:dyDescent="0.2">
      <c r="A151" t="s">
        <v>2157</v>
      </c>
      <c r="D151" s="11"/>
    </row>
    <row r="152" spans="1:4" x14ac:dyDescent="0.2">
      <c r="A152" t="s">
        <v>2158</v>
      </c>
      <c r="D152" s="11"/>
    </row>
    <row r="153" spans="1:4" x14ac:dyDescent="0.2">
      <c r="A153" t="s">
        <v>2159</v>
      </c>
      <c r="D153" s="11"/>
    </row>
    <row r="154" spans="1:4" x14ac:dyDescent="0.2">
      <c r="A154" t="s">
        <v>2160</v>
      </c>
      <c r="D154" s="11"/>
    </row>
    <row r="155" spans="1:4" x14ac:dyDescent="0.2">
      <c r="A155" t="s">
        <v>2161</v>
      </c>
      <c r="D155" s="11"/>
    </row>
    <row r="156" spans="1:4" x14ac:dyDescent="0.2">
      <c r="A156" t="s">
        <v>2162</v>
      </c>
      <c r="D156" s="11"/>
    </row>
    <row r="157" spans="1:4" x14ac:dyDescent="0.2">
      <c r="A157" t="s">
        <v>2163</v>
      </c>
      <c r="D157" s="11"/>
    </row>
    <row r="158" spans="1:4" x14ac:dyDescent="0.2">
      <c r="A158" t="s">
        <v>2164</v>
      </c>
      <c r="D158" s="11"/>
    </row>
    <row r="159" spans="1:4" x14ac:dyDescent="0.2">
      <c r="A159" t="s">
        <v>2165</v>
      </c>
      <c r="D159" s="11"/>
    </row>
    <row r="160" spans="1:4" x14ac:dyDescent="0.2">
      <c r="A160" t="s">
        <v>2166</v>
      </c>
      <c r="D160" s="11"/>
    </row>
    <row r="161" spans="1:4" x14ac:dyDescent="0.2">
      <c r="A161" t="s">
        <v>2167</v>
      </c>
      <c r="D161" s="11"/>
    </row>
    <row r="162" spans="1:4" x14ac:dyDescent="0.2">
      <c r="A162" t="s">
        <v>2168</v>
      </c>
      <c r="D162" s="11"/>
    </row>
    <row r="163" spans="1:4" x14ac:dyDescent="0.2">
      <c r="A163" t="s">
        <v>2169</v>
      </c>
      <c r="D163" s="11"/>
    </row>
    <row r="164" spans="1:4" x14ac:dyDescent="0.2">
      <c r="B164" t="s">
        <v>2174</v>
      </c>
      <c r="C164">
        <v>76</v>
      </c>
      <c r="D164" s="10" t="str">
        <f>"0x"&amp;DEC2HEX(HEX2DEC(D$1)+SUM($C$2:C164))</f>
        <v>0x4204876C</v>
      </c>
    </row>
    <row r="165" spans="1:4" x14ac:dyDescent="0.2">
      <c r="B165" t="s">
        <v>2174</v>
      </c>
      <c r="C165">
        <v>80</v>
      </c>
      <c r="D165" s="10" t="str">
        <f>"0x"&amp;DEC2HEX(HEX2DEC(D$1)+SUM($C$2:C165))</f>
        <v>0x420487BC</v>
      </c>
    </row>
    <row r="166" spans="1:4" x14ac:dyDescent="0.2">
      <c r="B166" t="s">
        <v>2175</v>
      </c>
      <c r="C166">
        <v>36</v>
      </c>
      <c r="D166" s="10" t="str">
        <f>"0x"&amp;DEC2HEX(HEX2DEC(D$1)+SUM($C$2:C166))</f>
        <v>0x420487E0</v>
      </c>
    </row>
    <row r="167" spans="1:4" x14ac:dyDescent="0.2">
      <c r="B167" t="s">
        <v>2175</v>
      </c>
      <c r="C167">
        <v>108</v>
      </c>
      <c r="D167" s="10" t="str">
        <f>"0x"&amp;DEC2HEX(HEX2DEC(D$1)+SUM($C$2:C167))</f>
        <v>0x4204884C</v>
      </c>
    </row>
    <row r="168" spans="1:4" x14ac:dyDescent="0.2">
      <c r="B168" t="s">
        <v>2176</v>
      </c>
      <c r="C168">
        <v>62</v>
      </c>
      <c r="D168" s="10" t="str">
        <f>"0x"&amp;DEC2HEX(HEX2DEC(D$1)+SUM($C$2:C168))</f>
        <v>0x4204888A</v>
      </c>
    </row>
    <row r="169" spans="1:4" x14ac:dyDescent="0.2">
      <c r="B169" t="s">
        <v>2176</v>
      </c>
      <c r="C169">
        <v>58</v>
      </c>
      <c r="D169" s="10" t="str">
        <f>"0x"&amp;DEC2HEX(HEX2DEC(D$1)+SUM($C$2:C169))</f>
        <v>0x420488C4</v>
      </c>
    </row>
    <row r="170" spans="1:4" x14ac:dyDescent="0.2">
      <c r="B170" t="s">
        <v>2177</v>
      </c>
      <c r="C170">
        <v>128</v>
      </c>
      <c r="D170" s="10" t="str">
        <f>"0x"&amp;DEC2HEX(HEX2DEC(D$1)+SUM($C$2:C170))</f>
        <v>0x42048944</v>
      </c>
    </row>
    <row r="171" spans="1:4" x14ac:dyDescent="0.2">
      <c r="B171" t="s">
        <v>2178</v>
      </c>
      <c r="C171">
        <v>282</v>
      </c>
      <c r="D171" s="10" t="str">
        <f>"0x"&amp;DEC2HEX(HEX2DEC(D$1)+SUM($C$2:C171))</f>
        <v>0x42048A5E</v>
      </c>
    </row>
    <row r="172" spans="1:4" x14ac:dyDescent="0.2">
      <c r="B172" t="s">
        <v>2179</v>
      </c>
      <c r="C172">
        <v>250</v>
      </c>
      <c r="D172" s="10" t="str">
        <f>"0x"&amp;DEC2HEX(HEX2DEC(D$1)+SUM($C$2:C172))</f>
        <v>0x42048B58</v>
      </c>
    </row>
    <row r="173" spans="1:4" x14ac:dyDescent="0.2">
      <c r="B173" t="s">
        <v>2180</v>
      </c>
      <c r="C173">
        <v>66</v>
      </c>
      <c r="D173" s="10" t="str">
        <f>"0x"&amp;DEC2HEX(HEX2DEC(D$1)+SUM($C$2:C173))</f>
        <v>0x42048B9A</v>
      </c>
    </row>
    <row r="174" spans="1:4" x14ac:dyDescent="0.2">
      <c r="B174" t="s">
        <v>2181</v>
      </c>
      <c r="C174">
        <v>94</v>
      </c>
      <c r="D174" s="10" t="str">
        <f>"0x"&amp;DEC2HEX(HEX2DEC(D$1)+SUM($C$2:C174))</f>
        <v>0x42048BF8</v>
      </c>
    </row>
    <row r="175" spans="1:4" x14ac:dyDescent="0.2">
      <c r="B175" t="s">
        <v>2182</v>
      </c>
      <c r="C175">
        <v>82</v>
      </c>
      <c r="D175" s="10" t="str">
        <f>"0x"&amp;DEC2HEX(HEX2DEC(D$1)+SUM($C$2:C175))</f>
        <v>0x42048C4A</v>
      </c>
    </row>
    <row r="176" spans="1:4" x14ac:dyDescent="0.2">
      <c r="B176" t="s">
        <v>2183</v>
      </c>
      <c r="C176">
        <v>8</v>
      </c>
      <c r="D176" s="10" t="str">
        <f>"0x"&amp;DEC2HEX(HEX2DEC(D$1)+SUM($C$2:C176))</f>
        <v>0x42048C52</v>
      </c>
    </row>
    <row r="177" spans="1:4" x14ac:dyDescent="0.2">
      <c r="B177" t="s">
        <v>2184</v>
      </c>
      <c r="C177">
        <v>112</v>
      </c>
      <c r="D177" s="10" t="str">
        <f>"0x"&amp;DEC2HEX(HEX2DEC(D$1)+SUM($C$2:C177))</f>
        <v>0x42048CC2</v>
      </c>
    </row>
    <row r="178" spans="1:4" x14ac:dyDescent="0.2">
      <c r="B178" t="s">
        <v>2185</v>
      </c>
      <c r="C178">
        <v>54</v>
      </c>
      <c r="D178" s="10" t="str">
        <f>"0x"&amp;DEC2HEX(HEX2DEC(D$1)+SUM($C$2:C178))</f>
        <v>0x42048CF8</v>
      </c>
    </row>
    <row r="179" spans="1:4" x14ac:dyDescent="0.2">
      <c r="A179" t="s">
        <v>2186</v>
      </c>
      <c r="D179" s="11"/>
    </row>
    <row r="180" spans="1:4" x14ac:dyDescent="0.2">
      <c r="B180" t="s">
        <v>2187</v>
      </c>
      <c r="C180">
        <v>48</v>
      </c>
      <c r="D180" s="10" t="str">
        <f>"0x"&amp;DEC2HEX(HEX2DEC(D$1)+SUM($C$2:C180))</f>
        <v>0x42048D28</v>
      </c>
    </row>
    <row r="181" spans="1:4" x14ac:dyDescent="0.2">
      <c r="B181" t="s">
        <v>2188</v>
      </c>
      <c r="C181">
        <v>132</v>
      </c>
      <c r="D181" s="10" t="str">
        <f>"0x"&amp;DEC2HEX(HEX2DEC(D$1)+SUM($C$2:C181))</f>
        <v>0x42048DAC</v>
      </c>
    </row>
    <row r="182" spans="1:4" x14ac:dyDescent="0.2">
      <c r="B182" t="s">
        <v>2189</v>
      </c>
      <c r="C182">
        <v>72</v>
      </c>
      <c r="D182" s="10" t="str">
        <f>"0x"&amp;DEC2HEX(HEX2DEC(D$1)+SUM($C$2:C182))</f>
        <v>0x42048DF4</v>
      </c>
    </row>
    <row r="183" spans="1:4" x14ac:dyDescent="0.2">
      <c r="B183" t="s">
        <v>2190</v>
      </c>
      <c r="C183">
        <v>156</v>
      </c>
      <c r="D183" s="10" t="str">
        <f>"0x"&amp;DEC2HEX(HEX2DEC(D$1)+SUM($C$2:C183))</f>
        <v>0x42048E90</v>
      </c>
    </row>
    <row r="184" spans="1:4" x14ac:dyDescent="0.2">
      <c r="B184" t="s">
        <v>2191</v>
      </c>
      <c r="C184">
        <v>126</v>
      </c>
      <c r="D184" s="10" t="str">
        <f>"0x"&amp;DEC2HEX(HEX2DEC(D$1)+SUM($C$2:C184))</f>
        <v>0x42048F0E</v>
      </c>
    </row>
    <row r="185" spans="1:4" x14ac:dyDescent="0.2">
      <c r="B185" t="s">
        <v>2192</v>
      </c>
      <c r="C185">
        <v>104</v>
      </c>
      <c r="D185" s="10" t="str">
        <f>"0x"&amp;DEC2HEX(HEX2DEC(D$1)+SUM($C$2:C185))</f>
        <v>0x42048F76</v>
      </c>
    </row>
    <row r="186" spans="1:4" x14ac:dyDescent="0.2">
      <c r="B186" t="s">
        <v>2193</v>
      </c>
      <c r="C186">
        <v>192</v>
      </c>
      <c r="D186" s="10" t="str">
        <f>"0x"&amp;DEC2HEX(HEX2DEC(D$1)+SUM($C$2:C186))</f>
        <v>0x42049036</v>
      </c>
    </row>
    <row r="187" spans="1:4" x14ac:dyDescent="0.2">
      <c r="B187" t="s">
        <v>2194</v>
      </c>
      <c r="C187">
        <v>342</v>
      </c>
      <c r="D187" s="10" t="str">
        <f>"0x"&amp;DEC2HEX(HEX2DEC(D$1)+SUM($C$2:C187))</f>
        <v>0x4204918C</v>
      </c>
    </row>
    <row r="188" spans="1:4" x14ac:dyDescent="0.2">
      <c r="B188" t="s">
        <v>2195</v>
      </c>
      <c r="C188">
        <v>6</v>
      </c>
      <c r="D188" s="10" t="str">
        <f>"0x"&amp;DEC2HEX(HEX2DEC(D$1)+SUM($C$2:C188))</f>
        <v>0x42049192</v>
      </c>
    </row>
    <row r="189" spans="1:4" x14ac:dyDescent="0.2">
      <c r="B189" t="s">
        <v>2196</v>
      </c>
      <c r="C189">
        <v>350</v>
      </c>
      <c r="D189" s="10" t="str">
        <f>"0x"&amp;DEC2HEX(HEX2DEC(D$1)+SUM($C$2:C189))</f>
        <v>0x420492F0</v>
      </c>
    </row>
    <row r="190" spans="1:4" x14ac:dyDescent="0.2">
      <c r="B190" t="s">
        <v>2197</v>
      </c>
      <c r="C190">
        <v>20</v>
      </c>
      <c r="D190" s="10" t="str">
        <f>"0x"&amp;DEC2HEX(HEX2DEC(D$1)+SUM($C$2:C190))</f>
        <v>0x42049304</v>
      </c>
    </row>
    <row r="191" spans="1:4" x14ac:dyDescent="0.2">
      <c r="B191" t="s">
        <v>2198</v>
      </c>
      <c r="C191">
        <v>152</v>
      </c>
      <c r="D191" s="10" t="str">
        <f>"0x"&amp;DEC2HEX(HEX2DEC(D$1)+SUM($C$2:C191))</f>
        <v>0x4204939C</v>
      </c>
    </row>
    <row r="192" spans="1:4" x14ac:dyDescent="0.2">
      <c r="B192" t="s">
        <v>2199</v>
      </c>
      <c r="C192">
        <v>62</v>
      </c>
      <c r="D192" s="10" t="str">
        <f>"0x"&amp;DEC2HEX(HEX2DEC(D$1)+SUM($C$2:C192))</f>
        <v>0x420493DA</v>
      </c>
    </row>
    <row r="193" spans="2:4" x14ac:dyDescent="0.2">
      <c r="B193" t="s">
        <v>2200</v>
      </c>
      <c r="C193">
        <v>62</v>
      </c>
      <c r="D193" s="10" t="str">
        <f>"0x"&amp;DEC2HEX(HEX2DEC(D$1)+SUM($C$2:C193))</f>
        <v>0x42049418</v>
      </c>
    </row>
    <row r="194" spans="2:4" x14ac:dyDescent="0.2">
      <c r="B194" t="s">
        <v>2201</v>
      </c>
      <c r="C194">
        <v>52</v>
      </c>
      <c r="D194" s="10" t="str">
        <f>"0x"&amp;DEC2HEX(HEX2DEC(D$1)+SUM($C$2:C194))</f>
        <v>0x4204944C</v>
      </c>
    </row>
    <row r="195" spans="2:4" x14ac:dyDescent="0.2">
      <c r="B195" t="s">
        <v>2202</v>
      </c>
      <c r="C195">
        <v>44</v>
      </c>
      <c r="D195" s="10" t="str">
        <f>"0x"&amp;DEC2HEX(HEX2DEC(D$1)+SUM($C$2:C195))</f>
        <v>0x42049478</v>
      </c>
    </row>
    <row r="196" spans="2:4" x14ac:dyDescent="0.2">
      <c r="B196" t="s">
        <v>2203</v>
      </c>
      <c r="C196">
        <v>728</v>
      </c>
      <c r="D196" s="10" t="str">
        <f>"0x"&amp;DEC2HEX(HEX2DEC(D$1)+SUM($C$2:C196))</f>
        <v>0x42049750</v>
      </c>
    </row>
    <row r="197" spans="2:4" x14ac:dyDescent="0.2">
      <c r="B197" t="s">
        <v>2204</v>
      </c>
      <c r="C197">
        <v>106</v>
      </c>
      <c r="D197" s="10" t="str">
        <f>"0x"&amp;DEC2HEX(HEX2DEC(D$1)+SUM($C$2:C197))</f>
        <v>0x420497BA</v>
      </c>
    </row>
    <row r="198" spans="2:4" x14ac:dyDescent="0.2">
      <c r="B198" t="s">
        <v>2205</v>
      </c>
      <c r="C198">
        <v>138</v>
      </c>
      <c r="D198" s="10" t="str">
        <f>"0x"&amp;DEC2HEX(HEX2DEC(D$1)+SUM($C$2:C198))</f>
        <v>0x42049844</v>
      </c>
    </row>
    <row r="199" spans="2:4" x14ac:dyDescent="0.2">
      <c r="B199" t="s">
        <v>2206</v>
      </c>
      <c r="C199">
        <v>116</v>
      </c>
      <c r="D199" s="10" t="str">
        <f>"0x"&amp;DEC2HEX(HEX2DEC(D$1)+SUM($C$2:C199))</f>
        <v>0x420498B8</v>
      </c>
    </row>
    <row r="200" spans="2:4" x14ac:dyDescent="0.2">
      <c r="B200" t="s">
        <v>2207</v>
      </c>
      <c r="C200">
        <v>216</v>
      </c>
      <c r="D200" s="10" t="str">
        <f>"0x"&amp;DEC2HEX(HEX2DEC(D$1)+SUM($C$2:C200))</f>
        <v>0x42049990</v>
      </c>
    </row>
    <row r="201" spans="2:4" x14ac:dyDescent="0.2">
      <c r="B201" t="s">
        <v>2208</v>
      </c>
      <c r="C201">
        <v>52</v>
      </c>
      <c r="D201" s="10" t="str">
        <f>"0x"&amp;DEC2HEX(HEX2DEC(D$1)+SUM($C$2:C201))</f>
        <v>0x420499C4</v>
      </c>
    </row>
    <row r="202" spans="2:4" x14ac:dyDescent="0.2">
      <c r="B202" t="s">
        <v>2209</v>
      </c>
      <c r="C202">
        <v>154</v>
      </c>
      <c r="D202" s="10" t="str">
        <f>"0x"&amp;DEC2HEX(HEX2DEC(D$1)+SUM($C$2:C202))</f>
        <v>0x42049A5E</v>
      </c>
    </row>
    <row r="203" spans="2:4" x14ac:dyDescent="0.2">
      <c r="B203" t="s">
        <v>2210</v>
      </c>
      <c r="C203">
        <v>424</v>
      </c>
      <c r="D203" s="10" t="str">
        <f>"0x"&amp;DEC2HEX(HEX2DEC(D$1)+SUM($C$2:C203))</f>
        <v>0x42049C06</v>
      </c>
    </row>
    <row r="204" spans="2:4" x14ac:dyDescent="0.2">
      <c r="B204" t="s">
        <v>2211</v>
      </c>
      <c r="C204">
        <v>186</v>
      </c>
      <c r="D204" s="10" t="str">
        <f>"0x"&amp;DEC2HEX(HEX2DEC(D$1)+SUM($C$2:C204))</f>
        <v>0x42049CC0</v>
      </c>
    </row>
    <row r="205" spans="2:4" x14ac:dyDescent="0.2">
      <c r="B205" t="s">
        <v>2212</v>
      </c>
      <c r="C205">
        <v>2514</v>
      </c>
      <c r="D205" s="10" t="str">
        <f>"0x"&amp;DEC2HEX(HEX2DEC(D$1)+SUM($C$2:C205))</f>
        <v>0x4204A692</v>
      </c>
    </row>
    <row r="206" spans="2:4" x14ac:dyDescent="0.2">
      <c r="B206" t="s">
        <v>2213</v>
      </c>
      <c r="C206">
        <v>140</v>
      </c>
      <c r="D206" s="10" t="str">
        <f>"0x"&amp;DEC2HEX(HEX2DEC(D$1)+SUM($C$2:C206))</f>
        <v>0x4204A71E</v>
      </c>
    </row>
    <row r="207" spans="2:4" x14ac:dyDescent="0.2">
      <c r="B207" t="s">
        <v>2214</v>
      </c>
      <c r="C207">
        <v>374</v>
      </c>
      <c r="D207" s="10" t="str">
        <f>"0x"&amp;DEC2HEX(HEX2DEC(D$1)+SUM($C$2:C207))</f>
        <v>0x4204A894</v>
      </c>
    </row>
    <row r="208" spans="2:4" x14ac:dyDescent="0.2">
      <c r="B208" t="s">
        <v>2215</v>
      </c>
      <c r="C208">
        <v>24</v>
      </c>
      <c r="D208" s="10" t="str">
        <f>"0x"&amp;DEC2HEX(HEX2DEC(D$1)+SUM($C$2:C208))</f>
        <v>0x4204A8AC</v>
      </c>
    </row>
    <row r="209" spans="1:4" x14ac:dyDescent="0.2">
      <c r="B209" t="s">
        <v>2216</v>
      </c>
      <c r="C209">
        <v>46</v>
      </c>
      <c r="D209" s="10" t="str">
        <f>"0x"&amp;DEC2HEX(HEX2DEC(D$1)+SUM($C$2:C209))</f>
        <v>0x4204A8DA</v>
      </c>
    </row>
    <row r="210" spans="1:4" x14ac:dyDescent="0.2">
      <c r="B210" t="s">
        <v>2217</v>
      </c>
      <c r="C210">
        <v>100</v>
      </c>
      <c r="D210" s="10" t="str">
        <f>"0x"&amp;DEC2HEX(HEX2DEC(D$1)+SUM($C$2:C210))</f>
        <v>0x4204A93E</v>
      </c>
    </row>
    <row r="211" spans="1:4" x14ac:dyDescent="0.2">
      <c r="B211" t="s">
        <v>2218</v>
      </c>
      <c r="C211">
        <v>82</v>
      </c>
      <c r="D211" s="10" t="str">
        <f>"0x"&amp;DEC2HEX(HEX2DEC(D$1)+SUM($C$2:C211))</f>
        <v>0x4204A990</v>
      </c>
    </row>
    <row r="212" spans="1:4" x14ac:dyDescent="0.2">
      <c r="B212" t="s">
        <v>2219</v>
      </c>
      <c r="C212">
        <v>616</v>
      </c>
      <c r="D212" s="10" t="str">
        <f>"0x"&amp;DEC2HEX(HEX2DEC(D$1)+SUM($C$2:C212))</f>
        <v>0x4204ABF8</v>
      </c>
    </row>
    <row r="213" spans="1:4" x14ac:dyDescent="0.2">
      <c r="B213" t="s">
        <v>2220</v>
      </c>
      <c r="C213">
        <v>98</v>
      </c>
      <c r="D213" s="10" t="str">
        <f>"0x"&amp;DEC2HEX(HEX2DEC(D$1)+SUM($C$2:C213))</f>
        <v>0x4204AC5A</v>
      </c>
    </row>
    <row r="214" spans="1:4" x14ac:dyDescent="0.2">
      <c r="B214" t="s">
        <v>2221</v>
      </c>
      <c r="C214">
        <v>64</v>
      </c>
      <c r="D214" s="10" t="str">
        <f>"0x"&amp;DEC2HEX(HEX2DEC(D$1)+SUM($C$2:C214))</f>
        <v>0x4204AC9A</v>
      </c>
    </row>
    <row r="215" spans="1:4" x14ac:dyDescent="0.2">
      <c r="B215" t="s">
        <v>2222</v>
      </c>
      <c r="C215">
        <v>56</v>
      </c>
      <c r="D215" s="10" t="str">
        <f>"0x"&amp;DEC2HEX(HEX2DEC(D$1)+SUM($C$2:C215))</f>
        <v>0x4204ACD2</v>
      </c>
    </row>
    <row r="216" spans="1:4" x14ac:dyDescent="0.2">
      <c r="A216" t="s">
        <v>2223</v>
      </c>
      <c r="D216" s="11"/>
    </row>
    <row r="217" spans="1:4" x14ac:dyDescent="0.2">
      <c r="B217" t="s">
        <v>2224</v>
      </c>
      <c r="C217">
        <v>58</v>
      </c>
      <c r="D217" s="10" t="str">
        <f>"0x"&amp;DEC2HEX(HEX2DEC(D$1)+SUM($C$2:C217))</f>
        <v>0x4204AD0C</v>
      </c>
    </row>
    <row r="218" spans="1:4" x14ac:dyDescent="0.2">
      <c r="B218" t="s">
        <v>2225</v>
      </c>
      <c r="C218">
        <v>734</v>
      </c>
      <c r="D218" s="10" t="str">
        <f>"0x"&amp;DEC2HEX(HEX2DEC(D$1)+SUM($C$2:C218))</f>
        <v>0x4204AFEA</v>
      </c>
    </row>
    <row r="219" spans="1:4" x14ac:dyDescent="0.2">
      <c r="B219" t="s">
        <v>2226</v>
      </c>
      <c r="C219">
        <v>64</v>
      </c>
      <c r="D219" s="10" t="str">
        <f>"0x"&amp;DEC2HEX(HEX2DEC(D$1)+SUM($C$2:C219))</f>
        <v>0x4204B02A</v>
      </c>
    </row>
    <row r="220" spans="1:4" x14ac:dyDescent="0.2">
      <c r="B220" t="s">
        <v>2227</v>
      </c>
      <c r="C220">
        <v>444</v>
      </c>
      <c r="D220" s="10" t="str">
        <f>"0x"&amp;DEC2HEX(HEX2DEC(D$1)+SUM($C$2:C220))</f>
        <v>0x4204B1E6</v>
      </c>
    </row>
    <row r="221" spans="1:4" x14ac:dyDescent="0.2">
      <c r="A221" t="s">
        <v>2228</v>
      </c>
      <c r="D221" s="11"/>
    </row>
    <row r="222" spans="1:4" x14ac:dyDescent="0.2">
      <c r="A222" t="s">
        <v>2229</v>
      </c>
      <c r="D222" s="11"/>
    </row>
    <row r="223" spans="1:4" x14ac:dyDescent="0.2">
      <c r="B223" t="s">
        <v>2170</v>
      </c>
      <c r="C223">
        <v>56</v>
      </c>
      <c r="D223" s="10" t="str">
        <f>"0x"&amp;DEC2HEX(HEX2DEC(D$1)+SUM($C$2:C223))</f>
        <v>0x4204B21E</v>
      </c>
    </row>
    <row r="224" spans="1:4" x14ac:dyDescent="0.2">
      <c r="B224" t="s">
        <v>2171</v>
      </c>
      <c r="C224">
        <v>56</v>
      </c>
      <c r="D224" s="10" t="str">
        <f>"0x"&amp;DEC2HEX(HEX2DEC(D$1)+SUM($C$2:C224))</f>
        <v>0x4204B256</v>
      </c>
    </row>
    <row r="225" spans="1:4" x14ac:dyDescent="0.2">
      <c r="B225" t="s">
        <v>2172</v>
      </c>
      <c r="C225">
        <v>58</v>
      </c>
      <c r="D225" s="10" t="str">
        <f>"0x"&amp;DEC2HEX(HEX2DEC(D$1)+SUM($C$2:C225))</f>
        <v>0x4204B290</v>
      </c>
    </row>
    <row r="226" spans="1:4" x14ac:dyDescent="0.2">
      <c r="B226" t="s">
        <v>2230</v>
      </c>
      <c r="C226">
        <v>28</v>
      </c>
      <c r="D226" s="10" t="str">
        <f>"0x"&amp;DEC2HEX(HEX2DEC(D$1)+SUM($C$2:C226))</f>
        <v>0x4204B2AC</v>
      </c>
    </row>
    <row r="227" spans="1:4" x14ac:dyDescent="0.2">
      <c r="B227" t="s">
        <v>2231</v>
      </c>
      <c r="C227">
        <v>116</v>
      </c>
      <c r="D227" s="10" t="str">
        <f>"0x"&amp;DEC2HEX(HEX2DEC(D$1)+SUM($C$2:C227))</f>
        <v>0x4204B320</v>
      </c>
    </row>
    <row r="228" spans="1:4" x14ac:dyDescent="0.2">
      <c r="B228" t="s">
        <v>2232</v>
      </c>
      <c r="C228">
        <v>344</v>
      </c>
      <c r="D228" s="10" t="str">
        <f>"0x"&amp;DEC2HEX(HEX2DEC(D$1)+SUM($C$2:C228))</f>
        <v>0x4204B478</v>
      </c>
    </row>
    <row r="229" spans="1:4" x14ac:dyDescent="0.2">
      <c r="B229" t="s">
        <v>2173</v>
      </c>
      <c r="C229">
        <v>2</v>
      </c>
      <c r="D229" s="10" t="str">
        <f>"0x"&amp;DEC2HEX(HEX2DEC(D$1)+SUM($C$2:C229))</f>
        <v>0x4204B47A</v>
      </c>
    </row>
    <row r="230" spans="1:4" x14ac:dyDescent="0.2">
      <c r="B230" t="s">
        <v>2233</v>
      </c>
      <c r="C230">
        <v>64</v>
      </c>
      <c r="D230" s="10" t="str">
        <f>"0x"&amp;DEC2HEX(HEX2DEC(D$1)+SUM($C$2:C230))</f>
        <v>0x4204B4BA</v>
      </c>
    </row>
    <row r="231" spans="1:4" x14ac:dyDescent="0.2">
      <c r="B231" t="s">
        <v>2234</v>
      </c>
      <c r="C231">
        <v>278</v>
      </c>
      <c r="D231" s="10" t="str">
        <f>"0x"&amp;DEC2HEX(HEX2DEC(D$1)+SUM($C$2:C231))</f>
        <v>0x4204B5D0</v>
      </c>
    </row>
    <row r="232" spans="1:4" x14ac:dyDescent="0.2">
      <c r="B232" t="s">
        <v>2235</v>
      </c>
      <c r="C232">
        <v>28</v>
      </c>
      <c r="D232" s="10" t="str">
        <f>"0x"&amp;DEC2HEX(HEX2DEC(D$1)+SUM($C$2:C232))</f>
        <v>0x4204B5EC</v>
      </c>
    </row>
    <row r="233" spans="1:4" x14ac:dyDescent="0.2">
      <c r="B233" t="s">
        <v>2236</v>
      </c>
      <c r="C233">
        <v>48</v>
      </c>
      <c r="D233" s="10" t="str">
        <f>"0x"&amp;DEC2HEX(HEX2DEC(D$1)+SUM($C$2:C233))</f>
        <v>0x4204B61C</v>
      </c>
    </row>
    <row r="234" spans="1:4" x14ac:dyDescent="0.2">
      <c r="A234" t="s">
        <v>2249</v>
      </c>
      <c r="D234" s="11"/>
    </row>
    <row r="235" spans="1:4" x14ac:dyDescent="0.2">
      <c r="A235" t="s">
        <v>2250</v>
      </c>
      <c r="D235" s="11"/>
    </row>
    <row r="236" spans="1:4" x14ac:dyDescent="0.2">
      <c r="A236" t="s">
        <v>2251</v>
      </c>
      <c r="D236" s="11"/>
    </row>
    <row r="237" spans="1:4" x14ac:dyDescent="0.2">
      <c r="B237" t="s">
        <v>2237</v>
      </c>
      <c r="C237">
        <v>36</v>
      </c>
      <c r="D237" s="10" t="str">
        <f>"0x"&amp;DEC2HEX(HEX2DEC(D$1)+SUM($C$2:C237))</f>
        <v>0x4204B640</v>
      </c>
    </row>
    <row r="238" spans="1:4" x14ac:dyDescent="0.2">
      <c r="A238" t="s">
        <v>2252</v>
      </c>
      <c r="D238" s="11"/>
    </row>
    <row r="239" spans="1:4" x14ac:dyDescent="0.2">
      <c r="A239" t="s">
        <v>2253</v>
      </c>
      <c r="D239" s="11"/>
    </row>
    <row r="240" spans="1:4" x14ac:dyDescent="0.2">
      <c r="A240" t="s">
        <v>2254</v>
      </c>
      <c r="D240" s="11"/>
    </row>
    <row r="241" spans="1:4" x14ac:dyDescent="0.2">
      <c r="A241" t="s">
        <v>2255</v>
      </c>
      <c r="D241" s="11"/>
    </row>
    <row r="242" spans="1:4" x14ac:dyDescent="0.2">
      <c r="A242" t="s">
        <v>2256</v>
      </c>
      <c r="D242" s="11"/>
    </row>
    <row r="243" spans="1:4" x14ac:dyDescent="0.2">
      <c r="A243" t="s">
        <v>2257</v>
      </c>
      <c r="D243" s="11"/>
    </row>
    <row r="244" spans="1:4" x14ac:dyDescent="0.2">
      <c r="A244" t="s">
        <v>2258</v>
      </c>
      <c r="D244" s="11"/>
    </row>
    <row r="245" spans="1:4" x14ac:dyDescent="0.2">
      <c r="A245" t="s">
        <v>2259</v>
      </c>
      <c r="D245" s="11"/>
    </row>
    <row r="246" spans="1:4" x14ac:dyDescent="0.2">
      <c r="A246" t="s">
        <v>2260</v>
      </c>
      <c r="D246" s="11"/>
    </row>
    <row r="247" spans="1:4" x14ac:dyDescent="0.2">
      <c r="A247" t="s">
        <v>2261</v>
      </c>
      <c r="D247" s="11"/>
    </row>
    <row r="248" spans="1:4" x14ac:dyDescent="0.2">
      <c r="B248" t="s">
        <v>2238</v>
      </c>
      <c r="C248">
        <v>18</v>
      </c>
      <c r="D248" s="10" t="str">
        <f>"0x"&amp;DEC2HEX(HEX2DEC(D$1)+SUM($C$2:C248))</f>
        <v>0x4204B652</v>
      </c>
    </row>
    <row r="249" spans="1:4" x14ac:dyDescent="0.2">
      <c r="A249" t="s">
        <v>2262</v>
      </c>
      <c r="D249" s="11"/>
    </row>
    <row r="250" spans="1:4" x14ac:dyDescent="0.2">
      <c r="A250" t="s">
        <v>2263</v>
      </c>
      <c r="D250" s="11"/>
    </row>
    <row r="251" spans="1:4" x14ac:dyDescent="0.2">
      <c r="B251" t="s">
        <v>2239</v>
      </c>
      <c r="C251">
        <v>20</v>
      </c>
      <c r="D251" s="10" t="str">
        <f>"0x"&amp;DEC2HEX(HEX2DEC(D$1)+SUM($C$2:C251))</f>
        <v>0x4204B666</v>
      </c>
    </row>
    <row r="252" spans="1:4" x14ac:dyDescent="0.2">
      <c r="B252" t="s">
        <v>2240</v>
      </c>
      <c r="C252">
        <v>38</v>
      </c>
      <c r="D252" s="10" t="str">
        <f>"0x"&amp;DEC2HEX(HEX2DEC(D$1)+SUM($C$2:C252))</f>
        <v>0x4204B68C</v>
      </c>
    </row>
    <row r="253" spans="1:4" x14ac:dyDescent="0.2">
      <c r="B253" t="s">
        <v>2241</v>
      </c>
      <c r="C253">
        <v>2</v>
      </c>
      <c r="D253" s="10" t="str">
        <f>"0x"&amp;DEC2HEX(HEX2DEC(D$1)+SUM($C$2:C253))</f>
        <v>0x4204B68E</v>
      </c>
    </row>
    <row r="254" spans="1:4" x14ac:dyDescent="0.2">
      <c r="B254" t="s">
        <v>2242</v>
      </c>
      <c r="C254">
        <v>44</v>
      </c>
      <c r="D254" s="10" t="str">
        <f>"0x"&amp;DEC2HEX(HEX2DEC(D$1)+SUM($C$2:C254))</f>
        <v>0x4204B6BA</v>
      </c>
    </row>
    <row r="255" spans="1:4" x14ac:dyDescent="0.2">
      <c r="B255" t="s">
        <v>2243</v>
      </c>
      <c r="C255">
        <v>54</v>
      </c>
      <c r="D255" s="10" t="str">
        <f>"0x"&amp;DEC2HEX(HEX2DEC(D$1)+SUM($C$2:C255))</f>
        <v>0x4204B6F0</v>
      </c>
    </row>
    <row r="256" spans="1:4" x14ac:dyDescent="0.2">
      <c r="B256" t="s">
        <v>2244</v>
      </c>
      <c r="C256">
        <v>78</v>
      </c>
      <c r="D256" s="10" t="str">
        <f>"0x"&amp;DEC2HEX(HEX2DEC(D$1)+SUM($C$2:C256))</f>
        <v>0x4204B73E</v>
      </c>
    </row>
    <row r="257" spans="1:4" x14ac:dyDescent="0.2">
      <c r="B257" t="s">
        <v>2245</v>
      </c>
      <c r="C257">
        <v>166</v>
      </c>
      <c r="D257" s="10" t="str">
        <f>"0x"&amp;DEC2HEX(HEX2DEC(D$1)+SUM($C$2:C257))</f>
        <v>0x4204B7E4</v>
      </c>
    </row>
    <row r="258" spans="1:4" x14ac:dyDescent="0.2">
      <c r="B258" t="s">
        <v>2246</v>
      </c>
      <c r="C258">
        <v>108</v>
      </c>
      <c r="D258" s="10" t="str">
        <f>"0x"&amp;DEC2HEX(HEX2DEC(D$1)+SUM($C$2:C258))</f>
        <v>0x4204B850</v>
      </c>
    </row>
    <row r="259" spans="1:4" x14ac:dyDescent="0.2">
      <c r="B259" t="s">
        <v>2247</v>
      </c>
      <c r="C259">
        <v>2</v>
      </c>
      <c r="D259" s="10" t="str">
        <f>"0x"&amp;DEC2HEX(HEX2DEC(D$1)+SUM($C$2:C259))</f>
        <v>0x4204B852</v>
      </c>
    </row>
    <row r="260" spans="1:4" x14ac:dyDescent="0.2">
      <c r="B260" t="s">
        <v>2248</v>
      </c>
      <c r="C260">
        <v>34</v>
      </c>
      <c r="D260" s="10" t="str">
        <f>"0x"&amp;DEC2HEX(HEX2DEC(D$1)+SUM($C$2:C260))</f>
        <v>0x4204B874</v>
      </c>
    </row>
    <row r="261" spans="1:4" x14ac:dyDescent="0.2">
      <c r="B261" t="s">
        <v>2264</v>
      </c>
      <c r="C261">
        <v>4</v>
      </c>
      <c r="D261" s="10" t="str">
        <f>"0x"&amp;DEC2HEX(HEX2DEC(D$1)+SUM($C$2:C261))</f>
        <v>0x4204B878</v>
      </c>
    </row>
    <row r="262" spans="1:4" x14ac:dyDescent="0.2">
      <c r="B262" t="s">
        <v>2265</v>
      </c>
      <c r="C262">
        <v>4</v>
      </c>
      <c r="D262" s="10" t="str">
        <f>"0x"&amp;DEC2HEX(HEX2DEC(D$1)+SUM($C$2:C262))</f>
        <v>0x4204B87C</v>
      </c>
    </row>
    <row r="263" spans="1:4" x14ac:dyDescent="0.2">
      <c r="B263" t="s">
        <v>2266</v>
      </c>
      <c r="C263">
        <v>4</v>
      </c>
      <c r="D263" s="10" t="str">
        <f>"0x"&amp;DEC2HEX(HEX2DEC(D$1)+SUM($C$2:C263))</f>
        <v>0x4204B880</v>
      </c>
    </row>
    <row r="264" spans="1:4" x14ac:dyDescent="0.2">
      <c r="B264" t="s">
        <v>2267</v>
      </c>
      <c r="C264">
        <v>66</v>
      </c>
      <c r="D264" s="10" t="str">
        <f>"0x"&amp;DEC2HEX(HEX2DEC(D$1)+SUM($C$2:C264))</f>
        <v>0x4204B8C2</v>
      </c>
    </row>
    <row r="265" spans="1:4" x14ac:dyDescent="0.2">
      <c r="B265" t="s">
        <v>2268</v>
      </c>
      <c r="C265">
        <v>72</v>
      </c>
      <c r="D265" s="10" t="str">
        <f>"0x"&amp;DEC2HEX(HEX2DEC(D$1)+SUM($C$2:C265))</f>
        <v>0x4204B90A</v>
      </c>
    </row>
    <row r="266" spans="1:4" x14ac:dyDescent="0.2">
      <c r="B266" t="s">
        <v>2269</v>
      </c>
      <c r="C266">
        <v>58</v>
      </c>
      <c r="D266" s="10" t="str">
        <f>"0x"&amp;DEC2HEX(HEX2DEC(D$1)+SUM($C$2:C266))</f>
        <v>0x4204B944</v>
      </c>
    </row>
    <row r="267" spans="1:4" x14ac:dyDescent="0.2">
      <c r="B267" t="s">
        <v>2270</v>
      </c>
      <c r="C267">
        <v>22</v>
      </c>
      <c r="D267" s="10" t="str">
        <f>"0x"&amp;DEC2HEX(HEX2DEC(D$1)+SUM($C$2:C267))</f>
        <v>0x4204B95A</v>
      </c>
    </row>
    <row r="268" spans="1:4" x14ac:dyDescent="0.2">
      <c r="B268" t="s">
        <v>2271</v>
      </c>
      <c r="C268">
        <v>4</v>
      </c>
      <c r="D268" s="10" t="str">
        <f>"0x"&amp;DEC2HEX(HEX2DEC(D$1)+SUM($C$2:C268))</f>
        <v>0x4204B95E</v>
      </c>
    </row>
    <row r="269" spans="1:4" x14ac:dyDescent="0.2">
      <c r="B269" t="s">
        <v>2272</v>
      </c>
      <c r="C269">
        <v>278</v>
      </c>
      <c r="D269" s="10" t="str">
        <f>"0x"&amp;DEC2HEX(HEX2DEC(D$1)+SUM($C$2:C269))</f>
        <v>0x4204BA74</v>
      </c>
    </row>
    <row r="270" spans="1:4" x14ac:dyDescent="0.2">
      <c r="A270" t="s">
        <v>2277</v>
      </c>
      <c r="D270" s="11"/>
    </row>
    <row r="271" spans="1:4" x14ac:dyDescent="0.2">
      <c r="B271" t="s">
        <v>2273</v>
      </c>
      <c r="C271">
        <v>122</v>
      </c>
      <c r="D271" s="10" t="str">
        <f>"0x"&amp;DEC2HEX(HEX2DEC(D$1)+SUM($C$2:C271))</f>
        <v>0x4204BAEE</v>
      </c>
    </row>
    <row r="272" spans="1:4" x14ac:dyDescent="0.2">
      <c r="B272" t="s">
        <v>2274</v>
      </c>
      <c r="C272">
        <v>10</v>
      </c>
      <c r="D272" s="10" t="str">
        <f>"0x"&amp;DEC2HEX(HEX2DEC(D$1)+SUM($C$2:C272))</f>
        <v>0x4204BAF8</v>
      </c>
    </row>
    <row r="273" spans="1:4" x14ac:dyDescent="0.2">
      <c r="B273" t="s">
        <v>2275</v>
      </c>
      <c r="C273">
        <v>114</v>
      </c>
      <c r="D273" s="10" t="str">
        <f>"0x"&amp;DEC2HEX(HEX2DEC(D$1)+SUM($C$2:C273))</f>
        <v>0x4204BB6A</v>
      </c>
    </row>
    <row r="274" spans="1:4" x14ac:dyDescent="0.2">
      <c r="B274" t="s">
        <v>2276</v>
      </c>
      <c r="C274">
        <v>136</v>
      </c>
      <c r="D274" s="10" t="str">
        <f>"0x"&amp;DEC2HEX(HEX2DEC(D$1)+SUM($C$2:C274))</f>
        <v>0x4204BBF2</v>
      </c>
    </row>
    <row r="275" spans="1:4" x14ac:dyDescent="0.2">
      <c r="B275" t="s">
        <v>2278</v>
      </c>
      <c r="C275">
        <v>132</v>
      </c>
      <c r="D275" s="10" t="str">
        <f>"0x"&amp;DEC2HEX(HEX2DEC(D$1)+SUM($C$2:C275))</f>
        <v>0x4204BC76</v>
      </c>
    </row>
    <row r="276" spans="1:4" x14ac:dyDescent="0.2">
      <c r="B276" t="s">
        <v>2279</v>
      </c>
      <c r="C276">
        <v>2</v>
      </c>
      <c r="D276" s="10" t="str">
        <f>"0x"&amp;DEC2HEX(HEX2DEC(D$1)+SUM($C$2:C276))</f>
        <v>0x4204BC78</v>
      </c>
    </row>
    <row r="277" spans="1:4" x14ac:dyDescent="0.2">
      <c r="B277" t="s">
        <v>2280</v>
      </c>
      <c r="C277">
        <v>2</v>
      </c>
      <c r="D277" s="10" t="str">
        <f>"0x"&amp;DEC2HEX(HEX2DEC(D$1)+SUM($C$2:C277))</f>
        <v>0x4204BC7A</v>
      </c>
    </row>
    <row r="278" spans="1:4" x14ac:dyDescent="0.2">
      <c r="B278" t="s">
        <v>2281</v>
      </c>
      <c r="C278">
        <v>34</v>
      </c>
      <c r="D278" s="10" t="str">
        <f>"0x"&amp;DEC2HEX(HEX2DEC(D$1)+SUM($C$2:C278))</f>
        <v>0x4204BC9C</v>
      </c>
    </row>
    <row r="279" spans="1:4" x14ac:dyDescent="0.2">
      <c r="B279" t="s">
        <v>2282</v>
      </c>
      <c r="C279">
        <v>4</v>
      </c>
      <c r="D279" s="10" t="str">
        <f>"0x"&amp;DEC2HEX(HEX2DEC(D$1)+SUM($C$2:C279))</f>
        <v>0x4204BCA0</v>
      </c>
    </row>
    <row r="280" spans="1:4" x14ac:dyDescent="0.2">
      <c r="B280" t="s">
        <v>2283</v>
      </c>
      <c r="C280">
        <v>2</v>
      </c>
      <c r="D280" s="10" t="str">
        <f>"0x"&amp;DEC2HEX(HEX2DEC(D$1)+SUM($C$2:C280))</f>
        <v>0x4204BCA2</v>
      </c>
    </row>
    <row r="281" spans="1:4" x14ac:dyDescent="0.2">
      <c r="A281" t="s">
        <v>2284</v>
      </c>
      <c r="D281" s="11"/>
    </row>
    <row r="282" spans="1:4" x14ac:dyDescent="0.2">
      <c r="B282" t="s">
        <v>2285</v>
      </c>
      <c r="C282">
        <v>40</v>
      </c>
      <c r="D282" s="10" t="str">
        <f>"0x"&amp;DEC2HEX(HEX2DEC(D$1)+SUM($C$2:C282))</f>
        <v>0x4204BCCA</v>
      </c>
    </row>
    <row r="283" spans="1:4" x14ac:dyDescent="0.2">
      <c r="B283" t="s">
        <v>2286</v>
      </c>
      <c r="C283">
        <v>30</v>
      </c>
      <c r="D283" s="10" t="str">
        <f>"0x"&amp;DEC2HEX(HEX2DEC(D$1)+SUM($C$2:C283))</f>
        <v>0x4204BCE8</v>
      </c>
    </row>
    <row r="284" spans="1:4" x14ac:dyDescent="0.2">
      <c r="B284" t="s">
        <v>2287</v>
      </c>
      <c r="C284">
        <v>62</v>
      </c>
      <c r="D284" s="10" t="str">
        <f>"0x"&amp;DEC2HEX(HEX2DEC(D$1)+SUM($C$2:C284))</f>
        <v>0x4204BD26</v>
      </c>
    </row>
    <row r="285" spans="1:4" x14ac:dyDescent="0.2">
      <c r="B285" t="s">
        <v>2288</v>
      </c>
      <c r="C285">
        <v>2</v>
      </c>
      <c r="D285" s="10" t="str">
        <f>"0x"&amp;DEC2HEX(HEX2DEC(D$1)+SUM($C$2:C285))</f>
        <v>0x4204BD28</v>
      </c>
    </row>
    <row r="286" spans="1:4" x14ac:dyDescent="0.2">
      <c r="B286" t="s">
        <v>2289</v>
      </c>
      <c r="C286">
        <v>2</v>
      </c>
      <c r="D286" s="10" t="str">
        <f>"0x"&amp;DEC2HEX(HEX2DEC(D$1)+SUM($C$2:C286))</f>
        <v>0x4204BD2A</v>
      </c>
    </row>
    <row r="287" spans="1:4" x14ac:dyDescent="0.2">
      <c r="B287" t="s">
        <v>2290</v>
      </c>
      <c r="C287">
        <v>2</v>
      </c>
      <c r="D287" s="10" t="str">
        <f>"0x"&amp;DEC2HEX(HEX2DEC(D$1)+SUM($C$2:C287))</f>
        <v>0x4204BD2C</v>
      </c>
    </row>
    <row r="288" spans="1:4" x14ac:dyDescent="0.2">
      <c r="B288" t="s">
        <v>2291</v>
      </c>
      <c r="C288">
        <v>2</v>
      </c>
      <c r="D288" s="10" t="str">
        <f>"0x"&amp;DEC2HEX(HEX2DEC(D$1)+SUM($C$2:C288))</f>
        <v>0x4204BD2E</v>
      </c>
    </row>
    <row r="289" spans="1:4" x14ac:dyDescent="0.2">
      <c r="A289" t="s">
        <v>2292</v>
      </c>
      <c r="D289" s="11"/>
    </row>
    <row r="290" spans="1:4" x14ac:dyDescent="0.2">
      <c r="B290" t="s">
        <v>2293</v>
      </c>
      <c r="C290">
        <v>10</v>
      </c>
      <c r="D290" s="10" t="str">
        <f>"0x"&amp;DEC2HEX(HEX2DEC(D$1)+SUM($C$2:C290))</f>
        <v>0x4204BD38</v>
      </c>
    </row>
    <row r="291" spans="1:4" x14ac:dyDescent="0.2">
      <c r="A291" t="s">
        <v>2294</v>
      </c>
      <c r="D291" s="11"/>
    </row>
    <row r="292" spans="1:4" x14ac:dyDescent="0.2">
      <c r="A292" t="s">
        <v>2295</v>
      </c>
      <c r="D292" s="11"/>
    </row>
    <row r="293" spans="1:4" x14ac:dyDescent="0.2">
      <c r="A293" t="s">
        <v>2296</v>
      </c>
      <c r="D293" s="11"/>
    </row>
    <row r="294" spans="1:4" x14ac:dyDescent="0.2">
      <c r="B294" t="s">
        <v>2297</v>
      </c>
      <c r="C294">
        <v>10</v>
      </c>
      <c r="D294" s="10" t="str">
        <f>"0x"&amp;DEC2HEX(HEX2DEC(D$1)+SUM($C$2:C294))</f>
        <v>0x4204BD42</v>
      </c>
    </row>
    <row r="295" spans="1:4" x14ac:dyDescent="0.2">
      <c r="B295" t="s">
        <v>2298</v>
      </c>
      <c r="C295">
        <v>528</v>
      </c>
      <c r="D295" s="10" t="str">
        <f>"0x"&amp;DEC2HEX(HEX2DEC(D$1)+SUM($C$2:C295))</f>
        <v>0x4204BF52</v>
      </c>
    </row>
    <row r="296" spans="1:4" x14ac:dyDescent="0.2">
      <c r="B296" t="s">
        <v>2299</v>
      </c>
      <c r="C296">
        <v>82</v>
      </c>
      <c r="D296" s="10" t="str">
        <f>"0x"&amp;DEC2HEX(HEX2DEC(D$1)+SUM($C$2:C296))</f>
        <v>0x4204BFA4</v>
      </c>
    </row>
    <row r="297" spans="1:4" x14ac:dyDescent="0.2">
      <c r="B297" t="s">
        <v>2300</v>
      </c>
      <c r="C297">
        <v>40</v>
      </c>
      <c r="D297" s="10" t="str">
        <f>"0x"&amp;DEC2HEX(HEX2DEC(D$1)+SUM($C$2:C297))</f>
        <v>0x4204BFCC</v>
      </c>
    </row>
    <row r="298" spans="1:4" x14ac:dyDescent="0.2">
      <c r="B298" t="s">
        <v>2301</v>
      </c>
      <c r="C298">
        <v>72</v>
      </c>
      <c r="D298" s="10" t="str">
        <f>"0x"&amp;DEC2HEX(HEX2DEC(D$1)+SUM($C$2:C298))</f>
        <v>0x4204C014</v>
      </c>
    </row>
    <row r="299" spans="1:4" x14ac:dyDescent="0.2">
      <c r="B299" t="s">
        <v>2302</v>
      </c>
      <c r="C299">
        <v>124</v>
      </c>
      <c r="D299" s="10" t="str">
        <f>"0x"&amp;DEC2HEX(HEX2DEC(D$1)+SUM($C$2:C299))</f>
        <v>0x4204C090</v>
      </c>
    </row>
    <row r="300" spans="1:4" x14ac:dyDescent="0.2">
      <c r="A300" t="s">
        <v>2303</v>
      </c>
      <c r="D300" s="11"/>
    </row>
    <row r="301" spans="1:4" x14ac:dyDescent="0.2">
      <c r="A301" t="s">
        <v>2304</v>
      </c>
      <c r="D301" s="11"/>
    </row>
    <row r="302" spans="1:4" x14ac:dyDescent="0.2">
      <c r="A302" t="s">
        <v>2305</v>
      </c>
      <c r="D302" s="11"/>
    </row>
    <row r="303" spans="1:4" x14ac:dyDescent="0.2">
      <c r="A303" t="s">
        <v>2306</v>
      </c>
      <c r="D303" s="11"/>
    </row>
    <row r="304" spans="1:4" x14ac:dyDescent="0.2">
      <c r="A304" t="s">
        <v>2307</v>
      </c>
      <c r="D304" s="11"/>
    </row>
    <row r="305" spans="1:4" x14ac:dyDescent="0.2">
      <c r="A305" t="s">
        <v>2308</v>
      </c>
      <c r="D305" s="11"/>
    </row>
    <row r="306" spans="1:4" x14ac:dyDescent="0.2">
      <c r="A306" t="s">
        <v>2309</v>
      </c>
      <c r="D306" s="11"/>
    </row>
    <row r="307" spans="1:4" x14ac:dyDescent="0.2">
      <c r="A307" t="s">
        <v>2310</v>
      </c>
      <c r="D307" s="11"/>
    </row>
    <row r="308" spans="1:4" x14ac:dyDescent="0.2">
      <c r="A308" t="s">
        <v>2311</v>
      </c>
      <c r="D308" s="11"/>
    </row>
    <row r="309" spans="1:4" x14ac:dyDescent="0.2">
      <c r="A309" t="s">
        <v>2312</v>
      </c>
      <c r="D309" s="11"/>
    </row>
    <row r="310" spans="1:4" x14ac:dyDescent="0.2">
      <c r="A310" t="s">
        <v>2313</v>
      </c>
      <c r="D310" s="11"/>
    </row>
    <row r="311" spans="1:4" x14ac:dyDescent="0.2">
      <c r="A311" t="s">
        <v>2314</v>
      </c>
      <c r="D311" s="11"/>
    </row>
    <row r="312" spans="1:4" x14ac:dyDescent="0.2">
      <c r="A312" t="s">
        <v>2315</v>
      </c>
      <c r="D312" s="11"/>
    </row>
    <row r="313" spans="1:4" x14ac:dyDescent="0.2">
      <c r="A313" t="s">
        <v>2316</v>
      </c>
      <c r="D313" s="11"/>
    </row>
    <row r="314" spans="1:4" x14ac:dyDescent="0.2">
      <c r="A314" t="s">
        <v>2317</v>
      </c>
      <c r="D314" s="11"/>
    </row>
    <row r="315" spans="1:4" x14ac:dyDescent="0.2">
      <c r="A315" t="s">
        <v>2318</v>
      </c>
      <c r="D315" s="11"/>
    </row>
    <row r="316" spans="1:4" x14ac:dyDescent="0.2">
      <c r="B316" t="s">
        <v>2319</v>
      </c>
      <c r="C316">
        <v>228</v>
      </c>
      <c r="D316" s="10" t="str">
        <f>"0x"&amp;DEC2HEX(HEX2DEC(D$1)+SUM($C$2:C316))</f>
        <v>0x4204C174</v>
      </c>
    </row>
    <row r="317" spans="1:4" x14ac:dyDescent="0.2">
      <c r="A317" t="s">
        <v>2320</v>
      </c>
      <c r="D317" s="11"/>
    </row>
    <row r="318" spans="1:4" x14ac:dyDescent="0.2">
      <c r="A318" t="s">
        <v>2321</v>
      </c>
      <c r="D318" s="11"/>
    </row>
    <row r="319" spans="1:4" x14ac:dyDescent="0.2">
      <c r="B319" t="s">
        <v>2322</v>
      </c>
      <c r="C319">
        <v>144</v>
      </c>
      <c r="D319" s="10" t="str">
        <f>"0x"&amp;DEC2HEX(HEX2DEC(D$1)+SUM($C$2:C319))</f>
        <v>0x4204C204</v>
      </c>
    </row>
    <row r="320" spans="1:4" x14ac:dyDescent="0.2">
      <c r="B320" t="s">
        <v>2323</v>
      </c>
      <c r="C320">
        <v>150</v>
      </c>
      <c r="D320" s="10" t="str">
        <f>"0x"&amp;DEC2HEX(HEX2DEC(D$1)+SUM($C$2:C320))</f>
        <v>0x4204C29A</v>
      </c>
    </row>
    <row r="321" spans="1:4" x14ac:dyDescent="0.2">
      <c r="A321" t="s">
        <v>2324</v>
      </c>
      <c r="D321" s="11"/>
    </row>
    <row r="322" spans="1:4" x14ac:dyDescent="0.2">
      <c r="B322" t="s">
        <v>2325</v>
      </c>
      <c r="C322">
        <v>34</v>
      </c>
      <c r="D322" s="10" t="str">
        <f>"0x"&amp;DEC2HEX(HEX2DEC(D$1)+SUM($C$2:C322))</f>
        <v>0x4204C2BC</v>
      </c>
    </row>
    <row r="323" spans="1:4" x14ac:dyDescent="0.2">
      <c r="B323" t="s">
        <v>2326</v>
      </c>
      <c r="C323">
        <v>128</v>
      </c>
      <c r="D323" s="10" t="str">
        <f>"0x"&amp;DEC2HEX(HEX2DEC(D$1)+SUM($C$2:C323))</f>
        <v>0x4204C33C</v>
      </c>
    </row>
    <row r="324" spans="1:4" x14ac:dyDescent="0.2">
      <c r="B324" t="s">
        <v>2327</v>
      </c>
      <c r="C324">
        <v>184</v>
      </c>
      <c r="D324" s="10" t="str">
        <f>"0x"&amp;DEC2HEX(HEX2DEC(D$1)+SUM($C$2:C324))</f>
        <v>0x4204C3F4</v>
      </c>
    </row>
    <row r="325" spans="1:4" x14ac:dyDescent="0.2">
      <c r="B325" t="s">
        <v>2328</v>
      </c>
      <c r="C325">
        <v>206</v>
      </c>
      <c r="D325" s="10" t="str">
        <f>"0x"&amp;DEC2HEX(HEX2DEC(D$1)+SUM($C$2:C325))</f>
        <v>0x4204C4C2</v>
      </c>
    </row>
    <row r="326" spans="1:4" x14ac:dyDescent="0.2">
      <c r="B326" t="s">
        <v>2329</v>
      </c>
      <c r="C326">
        <v>184</v>
      </c>
      <c r="D326" s="10" t="str">
        <f>"0x"&amp;DEC2HEX(HEX2DEC(D$1)+SUM($C$2:C326))</f>
        <v>0x4204C57A</v>
      </c>
    </row>
    <row r="327" spans="1:4" x14ac:dyDescent="0.2">
      <c r="B327" t="s">
        <v>2330</v>
      </c>
      <c r="C327">
        <v>212</v>
      </c>
      <c r="D327" s="10" t="str">
        <f>"0x"&amp;DEC2HEX(HEX2DEC(D$1)+SUM($C$2:C327))</f>
        <v>0x4204C64E</v>
      </c>
    </row>
    <row r="328" spans="1:4" x14ac:dyDescent="0.2">
      <c r="A328" t="s">
        <v>2331</v>
      </c>
      <c r="D328" s="11"/>
    </row>
    <row r="329" spans="1:4" x14ac:dyDescent="0.2">
      <c r="B329" t="s">
        <v>2332</v>
      </c>
      <c r="C329">
        <v>314</v>
      </c>
      <c r="D329" s="10" t="str">
        <f>"0x"&amp;DEC2HEX(HEX2DEC(D$1)+SUM($C$2:C329))</f>
        <v>0x4204C788</v>
      </c>
    </row>
    <row r="330" spans="1:4" x14ac:dyDescent="0.2">
      <c r="B330" t="s">
        <v>2333</v>
      </c>
      <c r="C330">
        <v>1308</v>
      </c>
      <c r="D330" s="10" t="str">
        <f>"0x"&amp;DEC2HEX(HEX2DEC(D$1)+SUM($C$2:C330))</f>
        <v>0x4204CCA4</v>
      </c>
    </row>
    <row r="331" spans="1:4" x14ac:dyDescent="0.2">
      <c r="B331" t="s">
        <v>2334</v>
      </c>
      <c r="C331">
        <v>4</v>
      </c>
      <c r="D331" s="10" t="str">
        <f>"0x"&amp;DEC2HEX(HEX2DEC(D$1)+SUM($C$2:C331))</f>
        <v>0x4204CCA8</v>
      </c>
    </row>
    <row r="332" spans="1:4" x14ac:dyDescent="0.2">
      <c r="A332" t="s">
        <v>2335</v>
      </c>
    </row>
    <row r="333" spans="1:4" x14ac:dyDescent="0.2">
      <c r="B333" t="s">
        <v>2336</v>
      </c>
      <c r="C333">
        <v>66</v>
      </c>
      <c r="D333" s="10" t="str">
        <f>"0x"&amp;DEC2HEX(HEX2DEC(D$1)+SUM($C$2:C333))</f>
        <v>0x4204CCEA</v>
      </c>
    </row>
    <row r="334" spans="1:4" x14ac:dyDescent="0.2">
      <c r="B334" t="s">
        <v>2337</v>
      </c>
      <c r="C334">
        <v>1284</v>
      </c>
      <c r="D334" s="10" t="str">
        <f>"0x"&amp;DEC2HEX(HEX2DEC(D$1)+SUM($C$2:C334))</f>
        <v>0x4204D1EE</v>
      </c>
    </row>
    <row r="335" spans="1:4" x14ac:dyDescent="0.2">
      <c r="B335" t="s">
        <v>2338</v>
      </c>
      <c r="C335">
        <v>4</v>
      </c>
      <c r="D335" s="10" t="str">
        <f>"0x"&amp;DEC2HEX(HEX2DEC(D$1)+SUM($C$2:C335))</f>
        <v>0x4204D1F2</v>
      </c>
    </row>
    <row r="336" spans="1:4" x14ac:dyDescent="0.2">
      <c r="A336" t="s">
        <v>2339</v>
      </c>
      <c r="D336" s="11"/>
    </row>
    <row r="337" spans="1:4" x14ac:dyDescent="0.2">
      <c r="B337" t="s">
        <v>2340</v>
      </c>
      <c r="C337">
        <v>816</v>
      </c>
      <c r="D337" s="10" t="str">
        <f>"0x"&amp;DEC2HEX(HEX2DEC(D$1)+SUM($C$2:C337))</f>
        <v>0x4204D522</v>
      </c>
    </row>
    <row r="338" spans="1:4" x14ac:dyDescent="0.2">
      <c r="A338" t="s">
        <v>2341</v>
      </c>
      <c r="D338" s="11"/>
    </row>
    <row r="339" spans="1:4" x14ac:dyDescent="0.2">
      <c r="B339" t="s">
        <v>2342</v>
      </c>
      <c r="C339">
        <v>64</v>
      </c>
      <c r="D339" s="10" t="str">
        <f>"0x"&amp;DEC2HEX(HEX2DEC(D$1)+SUM($C$2:C339))</f>
        <v>0x4204D562</v>
      </c>
    </row>
    <row r="340" spans="1:4" x14ac:dyDescent="0.2">
      <c r="B340" t="s">
        <v>2343</v>
      </c>
      <c r="C340">
        <v>396</v>
      </c>
      <c r="D340" s="10" t="str">
        <f>"0x"&amp;DEC2HEX(HEX2DEC(D$1)+SUM($C$2:C340))</f>
        <v>0x4204D6EE</v>
      </c>
    </row>
    <row r="341" spans="1:4" x14ac:dyDescent="0.2">
      <c r="B341" t="s">
        <v>2344</v>
      </c>
      <c r="C341">
        <v>12</v>
      </c>
      <c r="D341" s="10" t="str">
        <f>"0x"&amp;DEC2HEX(HEX2DEC(D$1)+SUM($C$2:C341))</f>
        <v>0x4204D6FA</v>
      </c>
    </row>
    <row r="342" spans="1:4" x14ac:dyDescent="0.2">
      <c r="B342" t="s">
        <v>2345</v>
      </c>
      <c r="C342">
        <v>24</v>
      </c>
      <c r="D342" s="10" t="str">
        <f>"0x"&amp;DEC2HEX(HEX2DEC(D$1)+SUM($C$2:C342))</f>
        <v>0x4204D712</v>
      </c>
    </row>
    <row r="343" spans="1:4" x14ac:dyDescent="0.2">
      <c r="A343" t="s">
        <v>2346</v>
      </c>
      <c r="D343" s="11"/>
    </row>
    <row r="344" spans="1:4" x14ac:dyDescent="0.2">
      <c r="B344" t="s">
        <v>2347</v>
      </c>
      <c r="C344">
        <v>270</v>
      </c>
      <c r="D344" s="10" t="str">
        <f>"0x"&amp;DEC2HEX(HEX2DEC(D$1)+SUM($C$2:C344))</f>
        <v>0x4204D820</v>
      </c>
    </row>
    <row r="345" spans="1:4" x14ac:dyDescent="0.2">
      <c r="A345" t="s">
        <v>2348</v>
      </c>
      <c r="D345" s="11"/>
    </row>
    <row r="346" spans="1:4" x14ac:dyDescent="0.2">
      <c r="B346" t="s">
        <v>2349</v>
      </c>
      <c r="C346">
        <v>258</v>
      </c>
      <c r="D346" s="10" t="str">
        <f>"0x"&amp;DEC2HEX(HEX2DEC(D$1)+SUM($C$2:C346))</f>
        <v>0x4204D922</v>
      </c>
    </row>
    <row r="347" spans="1:4" x14ac:dyDescent="0.2">
      <c r="A347" t="s">
        <v>2350</v>
      </c>
      <c r="D347" s="11"/>
    </row>
    <row r="348" spans="1:4" x14ac:dyDescent="0.2">
      <c r="A348" t="s">
        <v>2351</v>
      </c>
      <c r="D348" s="11"/>
    </row>
    <row r="349" spans="1:4" x14ac:dyDescent="0.2">
      <c r="A349" t="s">
        <v>2352</v>
      </c>
      <c r="D349" s="11"/>
    </row>
    <row r="350" spans="1:4" x14ac:dyDescent="0.2">
      <c r="A350" t="s">
        <v>2353</v>
      </c>
      <c r="D350" s="11"/>
    </row>
    <row r="351" spans="1:4" x14ac:dyDescent="0.2">
      <c r="A351" t="s">
        <v>2354</v>
      </c>
      <c r="D351" s="11"/>
    </row>
    <row r="352" spans="1:4" x14ac:dyDescent="0.2">
      <c r="A352" t="s">
        <v>2355</v>
      </c>
      <c r="D352" s="11"/>
    </row>
    <row r="353" spans="1:4" x14ac:dyDescent="0.2">
      <c r="B353" t="s">
        <v>2356</v>
      </c>
      <c r="C353">
        <v>2288</v>
      </c>
      <c r="D353" s="10" t="str">
        <f>"0x"&amp;DEC2HEX(HEX2DEC(D$1)+SUM($C$2:C353))</f>
        <v>0x4204E212</v>
      </c>
    </row>
    <row r="354" spans="1:4" x14ac:dyDescent="0.2">
      <c r="B354" t="s">
        <v>2357</v>
      </c>
      <c r="C354">
        <v>50</v>
      </c>
      <c r="D354" s="10" t="str">
        <f>"0x"&amp;DEC2HEX(HEX2DEC(D$1)+SUM($C$2:C354))</f>
        <v>0x4204E244</v>
      </c>
    </row>
    <row r="355" spans="1:4" x14ac:dyDescent="0.2">
      <c r="B355" t="s">
        <v>2358</v>
      </c>
      <c r="C355">
        <v>208</v>
      </c>
      <c r="D355" s="10" t="str">
        <f>"0x"&amp;DEC2HEX(HEX2DEC(D$1)+SUM($C$2:C355))</f>
        <v>0x4204E314</v>
      </c>
    </row>
    <row r="356" spans="1:4" x14ac:dyDescent="0.2">
      <c r="B356" t="s">
        <v>2359</v>
      </c>
      <c r="C356">
        <v>166</v>
      </c>
      <c r="D356" s="10" t="str">
        <f>"0x"&amp;DEC2HEX(HEX2DEC(D$1)+SUM($C$2:C356))</f>
        <v>0x4204E3BA</v>
      </c>
    </row>
    <row r="357" spans="1:4" x14ac:dyDescent="0.2">
      <c r="B357" t="s">
        <v>2360</v>
      </c>
      <c r="C357">
        <v>78</v>
      </c>
      <c r="D357" s="10" t="str">
        <f>"0x"&amp;DEC2HEX(HEX2DEC(D$1)+SUM($C$2:C357))</f>
        <v>0x4204E408</v>
      </c>
    </row>
    <row r="358" spans="1:4" x14ac:dyDescent="0.2">
      <c r="A358" t="s">
        <v>2361</v>
      </c>
      <c r="D358" s="11"/>
    </row>
    <row r="359" spans="1:4" x14ac:dyDescent="0.2">
      <c r="B359" t="s">
        <v>2362</v>
      </c>
      <c r="C359">
        <v>266</v>
      </c>
      <c r="D359" s="10" t="str">
        <f>"0x"&amp;DEC2HEX(HEX2DEC(D$1)+SUM($C$2:C359))</f>
        <v>0x4204E512</v>
      </c>
    </row>
    <row r="360" spans="1:4" x14ac:dyDescent="0.2">
      <c r="B360" t="s">
        <v>2363</v>
      </c>
      <c r="C360">
        <v>24</v>
      </c>
      <c r="D360" s="10" t="str">
        <f>"0x"&amp;DEC2HEX(HEX2DEC(D$1)+SUM($C$2:C360))</f>
        <v>0x4204E52A</v>
      </c>
    </row>
    <row r="361" spans="1:4" x14ac:dyDescent="0.2">
      <c r="A361" t="s">
        <v>2364</v>
      </c>
      <c r="D361" s="11"/>
    </row>
    <row r="362" spans="1:4" x14ac:dyDescent="0.2">
      <c r="B362" t="s">
        <v>2365</v>
      </c>
      <c r="C362">
        <v>5662</v>
      </c>
      <c r="D362" s="10" t="str">
        <f>"0x"&amp;DEC2HEX(HEX2DEC(D$1)+SUM($C$2:C362))</f>
        <v>0x4204FB48</v>
      </c>
    </row>
    <row r="363" spans="1:4" x14ac:dyDescent="0.2">
      <c r="B363" t="s">
        <v>2366</v>
      </c>
      <c r="C363">
        <v>60</v>
      </c>
      <c r="D363" s="10" t="str">
        <f>"0x"&amp;DEC2HEX(HEX2DEC(D$1)+SUM($C$2:C363))</f>
        <v>0x4204FB84</v>
      </c>
    </row>
    <row r="364" spans="1:4" x14ac:dyDescent="0.2">
      <c r="B364" t="s">
        <v>2367</v>
      </c>
      <c r="C364">
        <v>160</v>
      </c>
      <c r="D364" s="10" t="str">
        <f>"0x"&amp;DEC2HEX(HEX2DEC(D$1)+SUM($C$2:C364))</f>
        <v>0x4204FC24</v>
      </c>
    </row>
    <row r="365" spans="1:4" x14ac:dyDescent="0.2">
      <c r="B365" t="s">
        <v>2368</v>
      </c>
      <c r="C365">
        <v>228</v>
      </c>
      <c r="D365" s="10" t="str">
        <f>"0x"&amp;DEC2HEX(HEX2DEC(D$1)+SUM($C$2:C365))</f>
        <v>0x4204FD08</v>
      </c>
    </row>
    <row r="366" spans="1:4" x14ac:dyDescent="0.2">
      <c r="B366" t="s">
        <v>2369</v>
      </c>
      <c r="C366">
        <v>78</v>
      </c>
      <c r="D366" s="10" t="str">
        <f>"0x"&amp;DEC2HEX(HEX2DEC(D$1)+SUM($C$2:C366))</f>
        <v>0x4204FD56</v>
      </c>
    </row>
    <row r="367" spans="1:4" x14ac:dyDescent="0.2">
      <c r="A367" t="s">
        <v>2370</v>
      </c>
    </row>
    <row r="368" spans="1:4" x14ac:dyDescent="0.2">
      <c r="B368" t="s">
        <v>2371</v>
      </c>
      <c r="C368">
        <v>260</v>
      </c>
      <c r="D368" s="10" t="str">
        <f>"0x"&amp;DEC2HEX(HEX2DEC(D$1)+SUM($C$2:C368))</f>
        <v>0x4204FE5A</v>
      </c>
    </row>
    <row r="369" spans="1:6" x14ac:dyDescent="0.2">
      <c r="A369" t="s">
        <v>2372</v>
      </c>
    </row>
    <row r="370" spans="1:6" x14ac:dyDescent="0.2">
      <c r="B370" t="s">
        <v>2373</v>
      </c>
      <c r="C370">
        <v>300</v>
      </c>
      <c r="D370" s="10" t="str">
        <f>"0x"&amp;DEC2HEX(HEX2DEC(D$1)+SUM($C$2:C370))</f>
        <v>0x4204FF86</v>
      </c>
    </row>
    <row r="371" spans="1:6" x14ac:dyDescent="0.2">
      <c r="B371" t="s">
        <v>2374</v>
      </c>
      <c r="C371">
        <v>24</v>
      </c>
      <c r="D371" s="10" t="str">
        <f>"0x"&amp;DEC2HEX(HEX2DEC(D$1)+SUM($C$2:C371))</f>
        <v>0x4204FF9E</v>
      </c>
    </row>
    <row r="372" spans="1:6" x14ac:dyDescent="0.2">
      <c r="A372" t="s">
        <v>2375</v>
      </c>
    </row>
    <row r="373" spans="1:6" x14ac:dyDescent="0.2">
      <c r="B373" t="s">
        <v>2376</v>
      </c>
      <c r="C373">
        <v>428</v>
      </c>
      <c r="D373" s="10" t="str">
        <f>"0x"&amp;DEC2HEX(HEX2DEC(D$1)+SUM($C$2:C373))</f>
        <v>0x4205014A</v>
      </c>
    </row>
    <row r="374" spans="1:6" x14ac:dyDescent="0.2">
      <c r="B374" t="s">
        <v>2377</v>
      </c>
      <c r="C374">
        <v>96</v>
      </c>
      <c r="D374" s="10" t="str">
        <f>"0x"&amp;DEC2HEX(HEX2DEC(D$1)+SUM($C$2:C374))</f>
        <v>0x420501AA</v>
      </c>
    </row>
    <row r="375" spans="1:6" x14ac:dyDescent="0.2">
      <c r="B375" t="s">
        <v>2378</v>
      </c>
      <c r="C375">
        <v>198</v>
      </c>
      <c r="D375" s="10" t="str">
        <f>"0x"&amp;DEC2HEX(HEX2DEC(D$1)+SUM($C$2:C375))</f>
        <v>0x42050270</v>
      </c>
    </row>
    <row r="376" spans="1:6" x14ac:dyDescent="0.2">
      <c r="B376" t="s">
        <v>2379</v>
      </c>
      <c r="C376">
        <v>266</v>
      </c>
      <c r="D376" s="10" t="str">
        <f>"0x"&amp;DEC2HEX(HEX2DEC(D$1)+SUM($C$2:C376))</f>
        <v>0x4205037A</v>
      </c>
    </row>
    <row r="377" spans="1:6" x14ac:dyDescent="0.2">
      <c r="B377" t="s">
        <v>2380</v>
      </c>
      <c r="C377">
        <v>90</v>
      </c>
      <c r="D377" s="10" t="str">
        <f>"0x"&amp;DEC2HEX(HEX2DEC(D$1)+SUM($C$2:C377))</f>
        <v>0x420503D4</v>
      </c>
    </row>
    <row r="378" spans="1:6" x14ac:dyDescent="0.2">
      <c r="A378" t="s">
        <v>2381</v>
      </c>
    </row>
    <row r="379" spans="1:6" x14ac:dyDescent="0.2">
      <c r="B379" t="s">
        <v>2382</v>
      </c>
      <c r="C379">
        <v>274</v>
      </c>
      <c r="D379" s="10" t="str">
        <f>"0x"&amp;DEC2HEX(HEX2DEC(D$1)+SUM($C$2:C379))</f>
        <v>0x420504E6</v>
      </c>
      <c r="E379" s="8">
        <f>SUM($C$2:C379)</f>
        <v>48494</v>
      </c>
      <c r="F379" s="9" t="str">
        <f>"0x"&amp;DEC2HEX(E379)</f>
        <v>0xBD6E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1713-9280-054B-9BED-A8362962CE21}">
  <dimension ref="A1:D70"/>
  <sheetViews>
    <sheetView topLeftCell="A51" workbookViewId="0">
      <selection activeCell="C37" sqref="C37:C40"/>
    </sheetView>
  </sheetViews>
  <sheetFormatPr baseColWidth="10" defaultRowHeight="16" x14ac:dyDescent="0.2"/>
  <cols>
    <col min="1" max="1" width="54.83203125" customWidth="1"/>
  </cols>
  <sheetData>
    <row r="1" spans="1:3" x14ac:dyDescent="0.2">
      <c r="C1" s="10" t="s">
        <v>2529</v>
      </c>
    </row>
    <row r="2" spans="1:3" x14ac:dyDescent="0.2">
      <c r="A2" t="s">
        <v>2433</v>
      </c>
      <c r="B2">
        <v>612</v>
      </c>
      <c r="C2" s="11" t="s">
        <v>2530</v>
      </c>
    </row>
    <row r="3" spans="1:3" x14ac:dyDescent="0.2">
      <c r="A3" t="s">
        <v>2434</v>
      </c>
      <c r="B3">
        <v>1370</v>
      </c>
      <c r="C3" s="11" t="str">
        <f>"0x"&amp;DEC2HEX(HEX2DEC(C$1)+SUM($B$2:B3))</f>
        <v>0x42051986</v>
      </c>
    </row>
    <row r="4" spans="1:3" x14ac:dyDescent="0.2">
      <c r="A4" t="s">
        <v>2435</v>
      </c>
      <c r="B4">
        <v>60</v>
      </c>
      <c r="C4" s="11" t="str">
        <f>"0x"&amp;DEC2HEX(HEX2DEC(C$1)+SUM($B$2:B4))</f>
        <v>0x420519C2</v>
      </c>
    </row>
    <row r="5" spans="1:3" x14ac:dyDescent="0.2">
      <c r="A5" t="s">
        <v>2383</v>
      </c>
      <c r="B5">
        <v>72</v>
      </c>
      <c r="C5" s="11" t="str">
        <f>"0x"&amp;DEC2HEX(HEX2DEC(C$1)+SUM($B$2:B5))</f>
        <v>0x42051A0A</v>
      </c>
    </row>
    <row r="6" spans="1:3" x14ac:dyDescent="0.2">
      <c r="A6" t="s">
        <v>2436</v>
      </c>
      <c r="B6">
        <v>798</v>
      </c>
      <c r="C6" s="11" t="str">
        <f>"0x"&amp;DEC2HEX(HEX2DEC(C$1)+SUM($B$2:B6))</f>
        <v>0x42051D28</v>
      </c>
    </row>
    <row r="7" spans="1:3" x14ac:dyDescent="0.2">
      <c r="A7" t="s">
        <v>2437</v>
      </c>
      <c r="B7">
        <v>52</v>
      </c>
      <c r="C7" s="11" t="str">
        <f>"0x"&amp;DEC2HEX(HEX2DEC(C$1)+SUM($B$2:B7))</f>
        <v>0x42051D5C</v>
      </c>
    </row>
    <row r="8" spans="1:3" x14ac:dyDescent="0.2">
      <c r="A8" t="s">
        <v>2438</v>
      </c>
      <c r="B8">
        <v>370</v>
      </c>
      <c r="C8" s="11" t="str">
        <f>"0x"&amp;DEC2HEX(HEX2DEC(C$1)+SUM($B$2:B8))</f>
        <v>0x42051ECE</v>
      </c>
    </row>
    <row r="9" spans="1:3" x14ac:dyDescent="0.2">
      <c r="A9" t="s">
        <v>2439</v>
      </c>
      <c r="B9">
        <v>216</v>
      </c>
      <c r="C9" s="11" t="str">
        <f>"0x"&amp;DEC2HEX(HEX2DEC(C$1)+SUM($B$2:B9))</f>
        <v>0x42051FA6</v>
      </c>
    </row>
    <row r="10" spans="1:3" x14ac:dyDescent="0.2">
      <c r="A10" t="s">
        <v>2440</v>
      </c>
      <c r="B10">
        <v>252</v>
      </c>
      <c r="C10" s="11" t="str">
        <f>"0x"&amp;DEC2HEX(HEX2DEC(C$1)+SUM($B$2:B10))</f>
        <v>0x420520A2</v>
      </c>
    </row>
    <row r="11" spans="1:3" x14ac:dyDescent="0.2">
      <c r="A11" t="s">
        <v>2442</v>
      </c>
      <c r="C11" s="11" t="str">
        <f>"0x"&amp;DEC2HEX(HEX2DEC(C$1)+SUM($B$2:B11))</f>
        <v>0x420520A2</v>
      </c>
    </row>
    <row r="12" spans="1:3" x14ac:dyDescent="0.2">
      <c r="A12" t="s">
        <v>2443</v>
      </c>
      <c r="B12">
        <v>2528</v>
      </c>
      <c r="C12" s="11" t="str">
        <f>"0x"&amp;DEC2HEX(HEX2DEC(C$1)+SUM($B$2:B12))</f>
        <v>0x42052A82</v>
      </c>
    </row>
    <row r="13" spans="1:3" x14ac:dyDescent="0.2">
      <c r="A13" t="s">
        <v>2444</v>
      </c>
      <c r="C13" s="11" t="str">
        <f>"0x"&amp;DEC2HEX(HEX2DEC(C$1)+SUM($B$2:B13))</f>
        <v>0x42052A82</v>
      </c>
    </row>
    <row r="14" spans="1:3" x14ac:dyDescent="0.2">
      <c r="A14" t="s">
        <v>2445</v>
      </c>
      <c r="B14">
        <v>798</v>
      </c>
      <c r="C14" s="11" t="str">
        <f>"0x"&amp;DEC2HEX(HEX2DEC(C$1)+SUM($B$2:B14))</f>
        <v>0x42052DA0</v>
      </c>
    </row>
    <row r="15" spans="1:3" x14ac:dyDescent="0.2">
      <c r="A15" t="s">
        <v>2384</v>
      </c>
      <c r="B15">
        <v>72</v>
      </c>
      <c r="C15" s="11" t="str">
        <f>"0x"&amp;DEC2HEX(HEX2DEC(C$1)+SUM($B$2:B15))</f>
        <v>0x42052DE8</v>
      </c>
    </row>
    <row r="16" spans="1:3" x14ac:dyDescent="0.2">
      <c r="A16" t="s">
        <v>2446</v>
      </c>
      <c r="B16">
        <v>634</v>
      </c>
      <c r="C16" s="11" t="str">
        <f>"0x"&amp;DEC2HEX(HEX2DEC(C$1)+SUM($B$2:B16))</f>
        <v>0x42053062</v>
      </c>
    </row>
    <row r="17" spans="1:3" x14ac:dyDescent="0.2">
      <c r="A17" t="s">
        <v>2447</v>
      </c>
      <c r="B17">
        <v>230</v>
      </c>
      <c r="C17" s="11" t="str">
        <f>"0x"&amp;DEC2HEX(HEX2DEC(C$1)+SUM($B$2:B17))</f>
        <v>0x42053148</v>
      </c>
    </row>
    <row r="18" spans="1:3" x14ac:dyDescent="0.2">
      <c r="A18" t="s">
        <v>2480</v>
      </c>
      <c r="B18">
        <v>324</v>
      </c>
      <c r="C18" s="11" t="str">
        <f>"0x"&amp;DEC2HEX(HEX2DEC(C$1)+SUM($B$2:B18))</f>
        <v>0x4205328C</v>
      </c>
    </row>
    <row r="19" spans="1:3" x14ac:dyDescent="0.2">
      <c r="A19" t="s">
        <v>2385</v>
      </c>
      <c r="B19">
        <v>64</v>
      </c>
      <c r="C19" s="11" t="str">
        <f>"0x"&amp;DEC2HEX(HEX2DEC(C$1)+SUM($B$2:B19))</f>
        <v>0x420532CC</v>
      </c>
    </row>
    <row r="20" spans="1:3" x14ac:dyDescent="0.2">
      <c r="A20" t="s">
        <v>2386</v>
      </c>
      <c r="B20">
        <v>302</v>
      </c>
      <c r="C20" s="11" t="str">
        <f>"0x"&amp;DEC2HEX(HEX2DEC(C$1)+SUM($B$2:B20))</f>
        <v>0x420533FA</v>
      </c>
    </row>
    <row r="21" spans="1:3" x14ac:dyDescent="0.2">
      <c r="A21" t="s">
        <v>2387</v>
      </c>
      <c r="B21">
        <v>188</v>
      </c>
      <c r="C21" s="11" t="str">
        <f>"0x"&amp;DEC2HEX(HEX2DEC(C$1)+SUM($B$2:B21))</f>
        <v>0x420534B6</v>
      </c>
    </row>
    <row r="22" spans="1:3" x14ac:dyDescent="0.2">
      <c r="A22" t="s">
        <v>2448</v>
      </c>
      <c r="B22">
        <v>524</v>
      </c>
      <c r="C22" s="11" t="str">
        <f>"0x"&amp;DEC2HEX(HEX2DEC(C$1)+SUM($B$2:B22))</f>
        <v>0x420536C2</v>
      </c>
    </row>
    <row r="23" spans="1:3" x14ac:dyDescent="0.2">
      <c r="A23" t="s">
        <v>2388</v>
      </c>
      <c r="B23">
        <v>140</v>
      </c>
      <c r="C23" s="11" t="str">
        <f>"0x"&amp;DEC2HEX(HEX2DEC(C$1)+SUM($B$2:B23))</f>
        <v>0x4205374E</v>
      </c>
    </row>
    <row r="24" spans="1:3" x14ac:dyDescent="0.2">
      <c r="A24" t="s">
        <v>2389</v>
      </c>
      <c r="B24">
        <v>70</v>
      </c>
      <c r="C24" s="11" t="str">
        <f>"0x"&amp;DEC2HEX(HEX2DEC(C$1)+SUM($B$2:B24))</f>
        <v>0x42053794</v>
      </c>
    </row>
    <row r="25" spans="1:3" x14ac:dyDescent="0.2">
      <c r="C25" s="11" t="str">
        <f>"0x"&amp;DEC2HEX(HEX2DEC(C$1)+SUM($B$2:B25))</f>
        <v>0x42053794</v>
      </c>
    </row>
    <row r="26" spans="1:3" x14ac:dyDescent="0.2">
      <c r="A26" t="s">
        <v>2449</v>
      </c>
      <c r="B26">
        <v>1892</v>
      </c>
      <c r="C26" s="11" t="str">
        <f>"0x"&amp;DEC2HEX(HEX2DEC(C$1)+SUM($B$2:B26))</f>
        <v>0x42053EF8</v>
      </c>
    </row>
    <row r="27" spans="1:3" x14ac:dyDescent="0.2">
      <c r="A27" t="s">
        <v>2450</v>
      </c>
      <c r="B27">
        <v>756</v>
      </c>
      <c r="C27" s="11" t="str">
        <f>"0x"&amp;DEC2HEX(HEX2DEC(C$1)+SUM($B$2:B27))</f>
        <v>0x420541EC</v>
      </c>
    </row>
    <row r="28" spans="1:3" x14ac:dyDescent="0.2">
      <c r="A28" t="s">
        <v>2451</v>
      </c>
      <c r="B28">
        <v>702</v>
      </c>
      <c r="C28" s="11" t="str">
        <f>"0x"&amp;DEC2HEX(HEX2DEC(C$1)+SUM($B$2:B28))</f>
        <v>0x420544AA</v>
      </c>
    </row>
    <row r="29" spans="1:3" x14ac:dyDescent="0.2">
      <c r="A29" t="s">
        <v>2452</v>
      </c>
      <c r="B29">
        <v>846</v>
      </c>
      <c r="C29" s="11" t="str">
        <f>"0x"&amp;DEC2HEX(HEX2DEC(C$1)+SUM($B$2:B29))</f>
        <v>0x420547F8</v>
      </c>
    </row>
    <row r="30" spans="1:3" x14ac:dyDescent="0.2">
      <c r="A30" t="s">
        <v>2453</v>
      </c>
      <c r="B30">
        <v>156</v>
      </c>
      <c r="C30" s="11" t="str">
        <f>"0x"&amp;DEC2HEX(HEX2DEC(C$1)+SUM($B$2:B30))</f>
        <v>0x42054894</v>
      </c>
    </row>
    <row r="31" spans="1:3" x14ac:dyDescent="0.2">
      <c r="A31" t="s">
        <v>2481</v>
      </c>
      <c r="B31">
        <v>244</v>
      </c>
      <c r="C31" s="11" t="str">
        <f>"0x"&amp;DEC2HEX(HEX2DEC(C$1)+SUM($B$2:B31))</f>
        <v>0x42054988</v>
      </c>
    </row>
    <row r="32" spans="1:3" x14ac:dyDescent="0.2">
      <c r="A32" t="s">
        <v>2482</v>
      </c>
      <c r="B32">
        <v>30</v>
      </c>
      <c r="C32" s="11" t="str">
        <f>"0x"&amp;DEC2HEX(HEX2DEC(C$1)+SUM($B$2:B32))</f>
        <v>0x420549A6</v>
      </c>
    </row>
    <row r="33" spans="1:3" x14ac:dyDescent="0.2">
      <c r="A33" t="s">
        <v>2454</v>
      </c>
      <c r="B33">
        <v>256</v>
      </c>
      <c r="C33" s="11" t="str">
        <f>"0x"&amp;DEC2HEX(HEX2DEC(C$1)+SUM($B$2:B33))</f>
        <v>0x42054AA6</v>
      </c>
    </row>
    <row r="34" spans="1:3" x14ac:dyDescent="0.2">
      <c r="A34" t="s">
        <v>2455</v>
      </c>
      <c r="B34">
        <v>150</v>
      </c>
      <c r="C34" s="11" t="str">
        <f>"0x"&amp;DEC2HEX(HEX2DEC(C$1)+SUM($B$2:B34))</f>
        <v>0x42054B3C</v>
      </c>
    </row>
    <row r="35" spans="1:3" x14ac:dyDescent="0.2">
      <c r="A35" t="s">
        <v>2456</v>
      </c>
      <c r="B35">
        <v>270</v>
      </c>
      <c r="C35" s="11" t="str">
        <f>"0x"&amp;DEC2HEX(HEX2DEC(C$1)+SUM($B$2:B35))</f>
        <v>0x42054C4A</v>
      </c>
    </row>
    <row r="36" spans="1:3" x14ac:dyDescent="0.2">
      <c r="A36" t="s">
        <v>2457</v>
      </c>
      <c r="B36">
        <v>80</v>
      </c>
      <c r="C36" s="11" t="str">
        <f>"0x"&amp;DEC2HEX(HEX2DEC(C$1)+SUM($B$2:B36))</f>
        <v>0x42054C9A</v>
      </c>
    </row>
    <row r="37" spans="1:3" x14ac:dyDescent="0.2">
      <c r="A37" t="s">
        <v>2458</v>
      </c>
      <c r="B37">
        <v>80</v>
      </c>
      <c r="C37" s="11" t="str">
        <f>"0x"&amp;DEC2HEX(HEX2DEC(C$1)+SUM($B$2:B37))</f>
        <v>0x42054CEA</v>
      </c>
    </row>
    <row r="38" spans="1:3" x14ac:dyDescent="0.2">
      <c r="A38" t="s">
        <v>2528</v>
      </c>
      <c r="B38">
        <v>474</v>
      </c>
      <c r="C38" s="11" t="str">
        <f>"0x"&amp;DEC2HEX(HEX2DEC(C$1)+SUM($B$2:B38))</f>
        <v>0x42054EC4</v>
      </c>
    </row>
    <row r="39" spans="1:3" x14ac:dyDescent="0.2">
      <c r="A39" t="s">
        <v>2483</v>
      </c>
      <c r="B39">
        <v>18</v>
      </c>
      <c r="C39" s="11" t="str">
        <f>"0x"&amp;DEC2HEX(HEX2DEC(C$1)+SUM($B$2:B39))</f>
        <v>0x42054ED6</v>
      </c>
    </row>
    <row r="40" spans="1:3" x14ac:dyDescent="0.2">
      <c r="C40" s="11" t="str">
        <f>"0x"&amp;DEC2HEX(HEX2DEC(C$1)+SUM($B$2:B40))</f>
        <v>0x42054ED6</v>
      </c>
    </row>
    <row r="41" spans="1:3" x14ac:dyDescent="0.2">
      <c r="A41" t="s">
        <v>2459</v>
      </c>
      <c r="B41">
        <v>430</v>
      </c>
      <c r="C41" s="11" t="str">
        <f>"0x"&amp;DEC2HEX(HEX2DEC(C$1)+SUM($B$2:B41))</f>
        <v>0x42055084</v>
      </c>
    </row>
    <row r="42" spans="1:3" x14ac:dyDescent="0.2">
      <c r="A42" t="s">
        <v>2460</v>
      </c>
      <c r="B42">
        <v>406</v>
      </c>
      <c r="C42" s="11" t="str">
        <f>"0x"&amp;DEC2HEX(HEX2DEC(C$1)+SUM($B$2:B42))</f>
        <v>0x4205521A</v>
      </c>
    </row>
    <row r="43" spans="1:3" x14ac:dyDescent="0.2">
      <c r="C43" s="11" t="str">
        <f>"0x"&amp;DEC2HEX(HEX2DEC(C$1)+SUM($B$2:B43))</f>
        <v>0x4205521A</v>
      </c>
    </row>
    <row r="44" spans="1:3" x14ac:dyDescent="0.2">
      <c r="A44" t="s">
        <v>2461</v>
      </c>
      <c r="B44">
        <v>630</v>
      </c>
      <c r="C44" s="11" t="str">
        <f>"0x"&amp;DEC2HEX(HEX2DEC(C$1)+SUM($B$2:B44))</f>
        <v>0x42055490</v>
      </c>
    </row>
    <row r="45" spans="1:3" x14ac:dyDescent="0.2">
      <c r="A45" t="s">
        <v>2461</v>
      </c>
      <c r="B45">
        <v>168</v>
      </c>
      <c r="C45" s="11" t="str">
        <f>"0x"&amp;DEC2HEX(HEX2DEC(C$1)+SUM($B$2:B45))</f>
        <v>0x42055538</v>
      </c>
    </row>
    <row r="46" spans="1:3" x14ac:dyDescent="0.2">
      <c r="A46" t="s">
        <v>2462</v>
      </c>
      <c r="B46">
        <v>44</v>
      </c>
      <c r="C46" s="11" t="str">
        <f>"0x"&amp;DEC2HEX(HEX2DEC(C$1)+SUM($B$2:B46))</f>
        <v>0x42055564</v>
      </c>
    </row>
    <row r="47" spans="1:3" x14ac:dyDescent="0.2">
      <c r="A47" t="s">
        <v>2463</v>
      </c>
      <c r="B47">
        <v>138</v>
      </c>
      <c r="C47" s="11" t="str">
        <f>"0x"&amp;DEC2HEX(HEX2DEC(C$1)+SUM($B$2:B47))</f>
        <v>0x420555EE</v>
      </c>
    </row>
    <row r="48" spans="1:3" x14ac:dyDescent="0.2">
      <c r="A48" s="1"/>
      <c r="C48" s="11" t="str">
        <f>"0x"&amp;DEC2HEX(HEX2DEC(C$1)+SUM($B$2:B48))</f>
        <v>0x420555EE</v>
      </c>
    </row>
    <row r="49" spans="1:3" x14ac:dyDescent="0.2">
      <c r="A49" t="s">
        <v>2464</v>
      </c>
      <c r="B49">
        <v>454</v>
      </c>
      <c r="C49" s="11" t="str">
        <f>"0x"&amp;DEC2HEX(HEX2DEC(C$1)+SUM($B$2:B49))</f>
        <v>0x420557B4</v>
      </c>
    </row>
    <row r="50" spans="1:3" x14ac:dyDescent="0.2">
      <c r="A50" t="s">
        <v>2465</v>
      </c>
      <c r="B50">
        <v>362</v>
      </c>
      <c r="C50" s="11" t="str">
        <f>"0x"&amp;DEC2HEX(HEX2DEC(C$1)+SUM($B$2:B50))</f>
        <v>0x4205591E</v>
      </c>
    </row>
    <row r="51" spans="1:3" x14ac:dyDescent="0.2">
      <c r="A51" t="s">
        <v>2466</v>
      </c>
      <c r="B51">
        <v>164</v>
      </c>
      <c r="C51" s="11" t="str">
        <f>"0x"&amp;DEC2HEX(HEX2DEC(C$1)+SUM($B$2:B51))</f>
        <v>0x420559C2</v>
      </c>
    </row>
    <row r="52" spans="1:3" x14ac:dyDescent="0.2">
      <c r="A52" t="s">
        <v>2416</v>
      </c>
      <c r="B52">
        <v>1662</v>
      </c>
      <c r="C52" s="11" t="str">
        <f>"0x"&amp;DEC2HEX(HEX2DEC(C$1)+SUM($B$2:B52))</f>
        <v>0x42056040</v>
      </c>
    </row>
    <row r="53" spans="1:3" x14ac:dyDescent="0.2">
      <c r="A53" t="s">
        <v>2417</v>
      </c>
      <c r="B53">
        <v>1470</v>
      </c>
      <c r="C53" s="11" t="str">
        <f>"0x"&amp;DEC2HEX(HEX2DEC(C$1)+SUM($B$2:B53))</f>
        <v>0x420565FE</v>
      </c>
    </row>
    <row r="54" spans="1:3" x14ac:dyDescent="0.2">
      <c r="A54" t="s">
        <v>2467</v>
      </c>
      <c r="B54">
        <v>78</v>
      </c>
      <c r="C54" s="11" t="str">
        <f>"0x"&amp;DEC2HEX(HEX2DEC(C$1)+SUM($B$2:B54))</f>
        <v>0x4205664C</v>
      </c>
    </row>
    <row r="55" spans="1:3" x14ac:dyDescent="0.2">
      <c r="A55" t="s">
        <v>2418</v>
      </c>
      <c r="B55">
        <v>724</v>
      </c>
      <c r="C55" s="11" t="str">
        <f>"0x"&amp;DEC2HEX(HEX2DEC(C$1)+SUM($B$2:B55))</f>
        <v>0x42056920</v>
      </c>
    </row>
    <row r="56" spans="1:3" x14ac:dyDescent="0.2">
      <c r="A56" t="s">
        <v>2468</v>
      </c>
      <c r="B56">
        <v>590</v>
      </c>
      <c r="C56" s="11" t="str">
        <f>"0x"&amp;DEC2HEX(HEX2DEC(C$1)+SUM($B$2:B56))</f>
        <v>0x42056B6E</v>
      </c>
    </row>
    <row r="57" spans="1:3" x14ac:dyDescent="0.2">
      <c r="A57" t="s">
        <v>2469</v>
      </c>
      <c r="B57">
        <v>34</v>
      </c>
      <c r="C57" s="11" t="str">
        <f>"0x"&amp;DEC2HEX(HEX2DEC(C$1)+SUM($B$2:B57))</f>
        <v>0x42056B90</v>
      </c>
    </row>
    <row r="58" spans="1:3" x14ac:dyDescent="0.2">
      <c r="A58" t="s">
        <v>2470</v>
      </c>
      <c r="B58">
        <v>388</v>
      </c>
      <c r="C58" s="11" t="str">
        <f>"0x"&amp;DEC2HEX(HEX2DEC(C$1)+SUM($B$2:B58))</f>
        <v>0x42056D14</v>
      </c>
    </row>
    <row r="59" spans="1:3" x14ac:dyDescent="0.2">
      <c r="A59" t="s">
        <v>2419</v>
      </c>
      <c r="B59">
        <v>386</v>
      </c>
      <c r="C59" s="11" t="str">
        <f>"0x"&amp;DEC2HEX(HEX2DEC(C$1)+SUM($B$2:B59))</f>
        <v>0x42056E96</v>
      </c>
    </row>
    <row r="60" spans="1:3" x14ac:dyDescent="0.2">
      <c r="A60" t="s">
        <v>2420</v>
      </c>
      <c r="B60">
        <v>428</v>
      </c>
      <c r="C60" s="11" t="str">
        <f>"0x"&amp;DEC2HEX(HEX2DEC(C$1)+SUM($B$2:B60))</f>
        <v>0x42057042</v>
      </c>
    </row>
    <row r="61" spans="1:3" x14ac:dyDescent="0.2">
      <c r="A61" t="s">
        <v>2390</v>
      </c>
      <c r="B61">
        <v>44</v>
      </c>
      <c r="C61" s="11" t="str">
        <f>"0x"&amp;DEC2HEX(HEX2DEC(C$1)+SUM($B$2:B61))</f>
        <v>0x4205706E</v>
      </c>
    </row>
    <row r="62" spans="1:3" x14ac:dyDescent="0.2">
      <c r="A62" t="s">
        <v>2476</v>
      </c>
      <c r="C62" s="11" t="str">
        <f>"0x"&amp;DEC2HEX(HEX2DEC(C$1)+SUM($B$2:B62))</f>
        <v>0x4205706E</v>
      </c>
    </row>
    <row r="63" spans="1:3" x14ac:dyDescent="0.2">
      <c r="A63" t="s">
        <v>2477</v>
      </c>
      <c r="B63">
        <v>844</v>
      </c>
      <c r="C63" s="11" t="str">
        <f>"0x"&amp;DEC2HEX(HEX2DEC(C$1)+SUM($B$2:B63))</f>
        <v>0x420573BA</v>
      </c>
    </row>
    <row r="64" spans="1:3" x14ac:dyDescent="0.2">
      <c r="A64" t="s">
        <v>2471</v>
      </c>
      <c r="B64">
        <v>348</v>
      </c>
      <c r="C64" s="11" t="str">
        <f>"0x"&amp;DEC2HEX(HEX2DEC(C$1)+SUM($B$2:B64))</f>
        <v>0x42057516</v>
      </c>
    </row>
    <row r="65" spans="1:4" x14ac:dyDescent="0.2">
      <c r="A65" t="s">
        <v>2478</v>
      </c>
      <c r="B65">
        <v>92</v>
      </c>
      <c r="C65" s="11" t="str">
        <f>"0x"&amp;DEC2HEX(HEX2DEC(C$1)+SUM($B$2:B65))</f>
        <v>0x42057572</v>
      </c>
    </row>
    <row r="66" spans="1:4" x14ac:dyDescent="0.2">
      <c r="A66" t="s">
        <v>2472</v>
      </c>
      <c r="B66">
        <v>386</v>
      </c>
      <c r="C66" s="11" t="str">
        <f>"0x"&amp;DEC2HEX(HEX2DEC(C$1)+SUM($B$2:B66))</f>
        <v>0x420576F4</v>
      </c>
    </row>
    <row r="67" spans="1:4" x14ac:dyDescent="0.2">
      <c r="A67" t="s">
        <v>2473</v>
      </c>
      <c r="B67">
        <v>316</v>
      </c>
      <c r="C67" s="11" t="str">
        <f>"0x"&amp;DEC2HEX(HEX2DEC(C$1)+SUM($B$2:B67))</f>
        <v>0x42057830</v>
      </c>
    </row>
    <row r="68" spans="1:4" x14ac:dyDescent="0.2">
      <c r="A68" t="s">
        <v>2473</v>
      </c>
      <c r="B68">
        <v>342</v>
      </c>
      <c r="C68" s="11" t="str">
        <f>"0x"&amp;DEC2HEX(HEX2DEC(C$1)+SUM($B$2:B68))</f>
        <v>0x42057986</v>
      </c>
    </row>
    <row r="69" spans="1:4" x14ac:dyDescent="0.2">
      <c r="A69" t="s">
        <v>2479</v>
      </c>
      <c r="B69">
        <v>24</v>
      </c>
      <c r="C69" s="11" t="str">
        <f>"0x"&amp;DEC2HEX(HEX2DEC(C$1)+SUM($B$2:B69))</f>
        <v>0x4205799E</v>
      </c>
    </row>
    <row r="70" spans="1:4" x14ac:dyDescent="0.2">
      <c r="C70" s="8">
        <f>SUM(B$2:$B69)</f>
        <v>26582</v>
      </c>
      <c r="D70" s="9" t="str">
        <f>"0x"&amp;DEC2HEX(C70)</f>
        <v>0x67D6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76B8-C396-BD43-B16C-9B2C32D8D617}">
  <dimension ref="A1:E34"/>
  <sheetViews>
    <sheetView topLeftCell="A12" workbookViewId="0">
      <selection activeCell="D35" sqref="D35"/>
    </sheetView>
  </sheetViews>
  <sheetFormatPr baseColWidth="10" defaultRowHeight="16" x14ac:dyDescent="0.2"/>
  <cols>
    <col min="2" max="2" width="53.33203125" customWidth="1"/>
  </cols>
  <sheetData>
    <row r="1" spans="1:3" x14ac:dyDescent="0.2">
      <c r="A1" t="s">
        <v>621</v>
      </c>
    </row>
    <row r="2" spans="1:3" x14ac:dyDescent="0.2">
      <c r="B2" t="s">
        <v>2391</v>
      </c>
      <c r="C2">
        <v>24</v>
      </c>
    </row>
    <row r="4" spans="1:3" x14ac:dyDescent="0.2">
      <c r="B4" t="s">
        <v>713</v>
      </c>
      <c r="C4">
        <v>2</v>
      </c>
    </row>
    <row r="5" spans="1:3" x14ac:dyDescent="0.2">
      <c r="B5" t="s">
        <v>714</v>
      </c>
      <c r="C5">
        <v>98</v>
      </c>
    </row>
    <row r="6" spans="1:3" x14ac:dyDescent="0.2">
      <c r="B6" t="s">
        <v>715</v>
      </c>
      <c r="C6">
        <v>144</v>
      </c>
    </row>
    <row r="7" spans="1:3" x14ac:dyDescent="0.2">
      <c r="B7" t="s">
        <v>716</v>
      </c>
      <c r="C7">
        <v>2</v>
      </c>
    </row>
    <row r="8" spans="1:3" x14ac:dyDescent="0.2">
      <c r="B8" t="s">
        <v>717</v>
      </c>
      <c r="C8">
        <v>152</v>
      </c>
    </row>
    <row r="10" spans="1:3" x14ac:dyDescent="0.2">
      <c r="B10" t="s">
        <v>2397</v>
      </c>
      <c r="C10">
        <v>28</v>
      </c>
    </row>
    <row r="12" spans="1:3" x14ac:dyDescent="0.2">
      <c r="B12" t="s">
        <v>2531</v>
      </c>
    </row>
    <row r="13" spans="1:3" x14ac:dyDescent="0.2">
      <c r="B13" t="s">
        <v>2531</v>
      </c>
      <c r="C13">
        <v>116</v>
      </c>
    </row>
    <row r="14" spans="1:3" x14ac:dyDescent="0.2">
      <c r="B14" t="s">
        <v>2531</v>
      </c>
      <c r="C14">
        <v>220</v>
      </c>
    </row>
    <row r="15" spans="1:3" x14ac:dyDescent="0.2">
      <c r="B15" t="s">
        <v>2395</v>
      </c>
    </row>
    <row r="16" spans="1:3" x14ac:dyDescent="0.2">
      <c r="B16" t="s">
        <v>2396</v>
      </c>
      <c r="C16">
        <v>2</v>
      </c>
    </row>
    <row r="18" spans="1:5" x14ac:dyDescent="0.2">
      <c r="B18" t="s">
        <v>2393</v>
      </c>
    </row>
    <row r="19" spans="1:5" x14ac:dyDescent="0.2">
      <c r="B19" t="s">
        <v>2394</v>
      </c>
    </row>
    <row r="20" spans="1:5" x14ac:dyDescent="0.2">
      <c r="B20" t="s">
        <v>2392</v>
      </c>
      <c r="C20">
        <v>2</v>
      </c>
    </row>
    <row r="22" spans="1:5" x14ac:dyDescent="0.2">
      <c r="B22" t="s">
        <v>2474</v>
      </c>
    </row>
    <row r="23" spans="1:5" x14ac:dyDescent="0.2">
      <c r="B23" t="s">
        <v>2475</v>
      </c>
      <c r="C23">
        <v>2</v>
      </c>
    </row>
    <row r="24" spans="1:5" x14ac:dyDescent="0.2">
      <c r="D24" s="8"/>
      <c r="E24" s="9"/>
    </row>
    <row r="25" spans="1:5" x14ac:dyDescent="0.2">
      <c r="D25" s="8">
        <f>SUM(C$2:$C24)</f>
        <v>792</v>
      </c>
      <c r="E25" s="9" t="str">
        <f>"0x"&amp;DEC2HEX(D25)</f>
        <v>0x318</v>
      </c>
    </row>
    <row r="27" spans="1:5" x14ac:dyDescent="0.2">
      <c r="A27" t="s">
        <v>622</v>
      </c>
    </row>
    <row r="28" spans="1:5" x14ac:dyDescent="0.2">
      <c r="B28" t="s">
        <v>559</v>
      </c>
      <c r="C28">
        <v>146</v>
      </c>
    </row>
    <row r="29" spans="1:5" x14ac:dyDescent="0.2">
      <c r="B29" t="s">
        <v>559</v>
      </c>
      <c r="C29">
        <v>108</v>
      </c>
    </row>
    <row r="30" spans="1:5" x14ac:dyDescent="0.2">
      <c r="B30" t="s">
        <v>559</v>
      </c>
      <c r="C30">
        <v>1338</v>
      </c>
    </row>
    <row r="31" spans="1:5" x14ac:dyDescent="0.2">
      <c r="B31" t="s">
        <v>559</v>
      </c>
      <c r="C31">
        <v>922</v>
      </c>
    </row>
    <row r="32" spans="1:5" x14ac:dyDescent="0.2">
      <c r="B32" t="s">
        <v>559</v>
      </c>
      <c r="C32">
        <v>1724</v>
      </c>
    </row>
    <row r="33" spans="2:5" x14ac:dyDescent="0.2">
      <c r="B33" t="s">
        <v>2398</v>
      </c>
      <c r="C33">
        <v>16</v>
      </c>
    </row>
    <row r="34" spans="2:5" x14ac:dyDescent="0.2">
      <c r="D34" s="8">
        <f>SUM(C$28:$C33)</f>
        <v>4254</v>
      </c>
      <c r="E34" s="9" t="str">
        <f>"0x"&amp;DEC2HEX(D34)</f>
        <v>0x109E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group</vt:lpstr>
      <vt:lpstr>.rwtext.wifi</vt:lpstr>
      <vt:lpstr>.data</vt:lpstr>
      <vt:lpstr>.bss</vt:lpstr>
      <vt:lpstr>.rodata</vt:lpstr>
      <vt:lpstr>.esp-hal</vt:lpstr>
      <vt:lpstr>embassy</vt:lpstr>
      <vt:lpstr>alloc+atomic</vt:lpstr>
      <vt:lpstr>.esp-wifi</vt:lpstr>
      <vt:lpstr>libcore printf</vt:lpstr>
      <vt:lpstr>.libpp</vt:lpstr>
      <vt:lpstr>.libphy</vt:lpstr>
      <vt:lpstr>.libnet80211</vt:lpstr>
      <vt:lpstr>.libwpa-suppl</vt:lpstr>
      <vt:lpstr>.smoltcp</vt:lpstr>
      <vt:lpstr>core-text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2025-07-09T09:14:01Z</dcterms:created>
  <dcterms:modified xsi:type="dcterms:W3CDTF">2025-09-06T00:51:37Z</dcterms:modified>
</cp:coreProperties>
</file>